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82208ff82b5eac/Documents/"/>
    </mc:Choice>
  </mc:AlternateContent>
  <xr:revisionPtr revIDLastSave="11" documentId="8_{F28ABEA6-A0EF-4930-B457-B700522426C7}" xr6:coauthVersionLast="47" xr6:coauthVersionMax="47" xr10:uidLastSave="{01B2A597-F6CA-48ED-A7DC-0A2FCF3D99BE}"/>
  <bookViews>
    <workbookView xWindow="-108" yWindow="-108" windowWidth="23256" windowHeight="12456" xr2:uid="{12ACB174-A38D-4954-A1C6-C1EBC754D202}"/>
  </bookViews>
  <sheets>
    <sheet name="WA_Fn-UseC_-Telco-Customer-Chur" sheetId="1" r:id="rId1"/>
  </sheets>
  <calcPr calcId="191029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<sst xmlns="http://schemas.openxmlformats.org/spreadsheetml/2006/main" count="119766" uniqueCount="7082">
  <si>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</si>
  <si>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</si>
  <si>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</si>
  <si>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</si>
  <si>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</si>
  <si>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</si>
  <si>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</si>
  <si>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</si>
  <si>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</si>
  <si>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</si>
  <si>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</si>
  <si>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</si>
  <si>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</si>
  <si>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</si>
  <si>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</si>
  <si>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</si>
  <si>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</si>
  <si>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</si>
  <si>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</si>
  <si>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</si>
  <si>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</si>
  <si>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</si>
  <si>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</si>
  <si>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</si>
  <si>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</si>
  <si>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</si>
  <si>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</si>
  <si>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</si>
  <si>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</si>
  <si>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</si>
  <si>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</si>
  <si>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</si>
  <si>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</si>
  <si>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</si>
  <si>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</si>
  <si>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</si>
  <si>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</si>
  <si>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</si>
  <si>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</si>
  <si>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</si>
  <si>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</si>
  <si>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</si>
  <si>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</si>
  <si>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</si>
  <si>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</si>
  <si>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</si>
  <si>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</si>
  <si>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</si>
  <si>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</si>
  <si>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</si>
  <si>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</si>
  <si>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</si>
  <si>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</si>
  <si>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</si>
  <si>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</si>
  <si>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</si>
  <si>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</si>
  <si>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</si>
  <si>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</si>
  <si>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</si>
  <si>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</si>
  <si>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</si>
  <si>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</si>
  <si>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</si>
  <si>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</si>
  <si>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</si>
  <si>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</si>
  <si>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</si>
  <si>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</si>
  <si>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</si>
  <si>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</si>
  <si>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</si>
  <si>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</si>
  <si>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</si>
  <si>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</si>
  <si>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</si>
  <si>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</si>
  <si>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</si>
  <si>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</si>
  <si>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</si>
  <si>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</si>
  <si>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</si>
  <si>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</si>
  <si>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</si>
  <si>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</si>
  <si>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</si>
  <si>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</si>
  <si>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</si>
  <si>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</si>
  <si>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</si>
  <si>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</si>
  <si>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</si>
  <si>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</si>
  <si>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</si>
  <si>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</si>
  <si>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</si>
  <si>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</si>
  <si>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</si>
  <si>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</si>
  <si>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</si>
  <si>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</si>
  <si>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</si>
  <si>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</si>
  <si>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</si>
  <si>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</si>
  <si>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</si>
  <si>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</si>
  <si>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</si>
  <si>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</si>
  <si>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</si>
  <si>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</si>
  <si>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</si>
  <si>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</si>
  <si>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</si>
  <si>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</si>
  <si>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</si>
  <si>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</si>
  <si>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</si>
  <si>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</si>
  <si>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</si>
  <si>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</si>
  <si>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</si>
  <si>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</si>
  <si>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</si>
  <si>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</si>
  <si>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</si>
  <si>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</si>
  <si>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</si>
  <si>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</si>
  <si>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</si>
  <si>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</si>
  <si>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</si>
  <si>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</si>
  <si>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</si>
  <si>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</si>
  <si>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</si>
  <si>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</si>
  <si>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</si>
  <si>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</si>
  <si>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</si>
  <si>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</si>
  <si>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</si>
  <si>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</si>
  <si>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</si>
  <si>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</si>
  <si>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</si>
  <si>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</si>
  <si>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</si>
  <si>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</si>
  <si>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</si>
  <si>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</si>
  <si>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</si>
  <si>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</si>
  <si>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</si>
  <si>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</si>
  <si>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</si>
  <si>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</si>
  <si>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</si>
  <si>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</si>
  <si>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</si>
  <si>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</si>
  <si>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</si>
  <si>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</si>
  <si>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</si>
  <si>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</si>
  <si>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</si>
  <si>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</si>
  <si>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</si>
  <si>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</si>
  <si>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</si>
  <si>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</si>
  <si>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</si>
  <si>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</si>
  <si>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</si>
  <si>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</si>
  <si>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</si>
  <si>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</si>
  <si>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</si>
  <si>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</si>
  <si>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</si>
  <si>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</si>
  <si>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</si>
  <si>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</si>
  <si>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</si>
  <si>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</si>
  <si>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</si>
  <si>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</si>
  <si>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</si>
  <si>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</si>
  <si>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</si>
  <si>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</si>
  <si>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</si>
  <si>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</si>
  <si>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</si>
  <si>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</si>
  <si>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</si>
  <si>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</si>
  <si>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</si>
  <si>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</si>
  <si>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</si>
  <si>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</si>
  <si>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</si>
  <si>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</si>
  <si>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</si>
  <si>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</si>
  <si>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</si>
  <si>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</si>
  <si>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</si>
  <si>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</si>
  <si>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</si>
  <si>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</si>
  <si>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</si>
  <si>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</si>
  <si>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</si>
  <si>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</si>
  <si>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</si>
  <si>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</si>
  <si>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</si>
  <si>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</si>
  <si>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</si>
  <si>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</si>
  <si>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</si>
  <si>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</si>
  <si>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</si>
  <si>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</si>
  <si>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</si>
  <si>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</si>
  <si>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</si>
  <si>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</si>
  <si>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</si>
  <si>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</si>
  <si>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</si>
  <si>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</si>
  <si>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</si>
  <si>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</si>
  <si>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</si>
  <si>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</si>
  <si>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</si>
  <si>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</si>
  <si>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</si>
  <si>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</si>
  <si>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</si>
  <si>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</si>
  <si>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</si>
  <si>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</si>
  <si>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</si>
  <si>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</si>
  <si>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</si>
  <si>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</si>
  <si>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</si>
  <si>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</si>
  <si>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</si>
  <si>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</si>
  <si>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</si>
  <si>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</si>
  <si>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</si>
  <si>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</si>
  <si>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</si>
  <si>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</si>
  <si>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</si>
  <si>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</si>
  <si>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</si>
  <si>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</si>
  <si>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</si>
  <si>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</si>
  <si>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</si>
  <si>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</si>
  <si>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</si>
  <si>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</si>
  <si>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</si>
  <si>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</si>
  <si>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</si>
  <si>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</si>
  <si>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</si>
  <si>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</si>
  <si>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</si>
  <si>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</si>
  <si>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</si>
  <si>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</si>
  <si>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</si>
  <si>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</si>
  <si>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</si>
  <si>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</si>
  <si>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</si>
  <si>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</si>
  <si>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</si>
  <si>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</si>
  <si>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</si>
  <si>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</si>
  <si>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</si>
  <si>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</si>
  <si>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</si>
  <si>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</si>
  <si>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</si>
  <si>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</si>
  <si>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</si>
  <si>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</si>
  <si>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</si>
  <si>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</si>
  <si>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</si>
  <si>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</si>
  <si>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</si>
  <si>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</si>
  <si>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</si>
  <si>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</si>
  <si>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</si>
  <si>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</si>
  <si>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</si>
  <si>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</si>
  <si>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</si>
  <si>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</si>
  <si>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</si>
  <si>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</si>
  <si>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</si>
  <si>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</si>
  <si>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</si>
  <si>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</si>
  <si>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</si>
  <si>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</si>
  <si>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</si>
  <si>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</si>
  <si>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</si>
  <si>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</si>
  <si>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</si>
  <si>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</si>
  <si>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</si>
  <si>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</si>
  <si>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</si>
  <si>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</si>
  <si>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</si>
  <si>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</si>
  <si>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</si>
  <si>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</si>
  <si>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</si>
  <si>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</si>
  <si>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</si>
  <si>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</si>
  <si>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</si>
  <si>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</si>
  <si>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</si>
  <si>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</si>
  <si>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</si>
  <si>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</si>
  <si>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</si>
  <si>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</si>
  <si>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</si>
  <si>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</si>
  <si>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</si>
  <si>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</si>
  <si>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</si>
  <si>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</si>
  <si>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</si>
  <si>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</si>
  <si>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</si>
  <si>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</si>
  <si>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</si>
  <si>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</si>
  <si>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</si>
  <si>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</si>
  <si>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</si>
  <si>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</si>
  <si>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</si>
  <si>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</si>
  <si>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</si>
  <si>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</si>
  <si>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</si>
  <si>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</si>
  <si>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</si>
  <si>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</si>
  <si>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</si>
  <si>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</si>
  <si>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</si>
  <si>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</si>
  <si>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</si>
  <si>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</si>
  <si>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</si>
  <si>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</si>
  <si>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</si>
  <si>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</si>
  <si>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</si>
  <si>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</si>
  <si>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</si>
  <si>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</si>
  <si>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</si>
  <si>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</si>
  <si>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</si>
  <si>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</si>
  <si>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</si>
  <si>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</si>
  <si>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</si>
  <si>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</si>
  <si>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</si>
  <si>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</si>
  <si>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</si>
  <si>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</si>
  <si>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</si>
  <si>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</si>
  <si>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</si>
  <si>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</si>
  <si>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</si>
  <si>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</si>
  <si>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</si>
  <si>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</si>
  <si>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</si>
  <si>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</si>
  <si>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</si>
  <si>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</si>
  <si>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</si>
  <si>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</si>
  <si>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</si>
  <si>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</si>
  <si>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</si>
  <si>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</si>
  <si>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</si>
  <si>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</si>
  <si>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</si>
  <si>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</si>
  <si>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</si>
  <si>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</si>
  <si>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</si>
  <si>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</si>
  <si>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</si>
  <si>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</si>
  <si>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</si>
  <si>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</si>
  <si>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</si>
  <si>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</si>
  <si>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</si>
  <si>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</si>
  <si>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</si>
  <si>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</si>
  <si>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</si>
  <si>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</si>
  <si>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</si>
  <si>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</si>
  <si>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</si>
  <si>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</si>
  <si>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</si>
  <si>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</si>
  <si>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</si>
  <si>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</si>
  <si>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</si>
  <si>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</si>
  <si>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</si>
  <si>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</si>
  <si>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</si>
  <si>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</si>
  <si>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</si>
  <si>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</si>
  <si>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</si>
  <si>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</si>
  <si>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</si>
  <si>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</si>
  <si>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</si>
  <si>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</si>
  <si>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</si>
  <si>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</si>
  <si>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</si>
  <si>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</si>
  <si>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</si>
  <si>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</si>
  <si>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</si>
  <si>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</si>
  <si>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</si>
  <si>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</si>
  <si>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</si>
  <si>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</si>
  <si>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</si>
  <si>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</si>
  <si>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</si>
  <si>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</si>
  <si>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</si>
  <si>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</si>
  <si>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</si>
  <si>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</si>
  <si>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</si>
  <si>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</si>
  <si>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</si>
  <si>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</si>
  <si>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</si>
  <si>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</si>
  <si>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</si>
  <si>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</si>
  <si>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</si>
  <si>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</si>
  <si>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</si>
  <si>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</si>
  <si>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</si>
  <si>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</si>
  <si>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</si>
  <si>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</si>
  <si>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</si>
  <si>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</si>
  <si>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</si>
  <si>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</si>
  <si>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</si>
  <si>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</si>
  <si>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</si>
  <si>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</si>
  <si>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</si>
  <si>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</si>
  <si>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</si>
  <si>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</si>
  <si>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</si>
  <si>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</si>
  <si>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</si>
  <si>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</si>
  <si>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</si>
  <si>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</si>
  <si>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</si>
  <si>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</si>
  <si>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</si>
  <si>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</si>
  <si>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</si>
  <si>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</si>
  <si>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</si>
  <si>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</si>
  <si>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</si>
  <si>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</si>
  <si>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</si>
  <si>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</si>
  <si>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</si>
  <si>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</si>
  <si>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</si>
  <si>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</si>
  <si>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</si>
  <si>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</si>
  <si>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</si>
  <si>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</si>
  <si>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</si>
  <si>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</si>
  <si>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</si>
  <si>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</si>
  <si>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</si>
  <si>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</si>
  <si>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</si>
  <si>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</si>
  <si>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</si>
  <si>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</si>
  <si>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</si>
  <si>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</si>
  <si>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</si>
  <si>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</si>
  <si>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</si>
  <si>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</si>
  <si>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</si>
  <si>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</si>
  <si>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</si>
  <si>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</si>
  <si>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</si>
  <si>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</si>
  <si>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</si>
  <si>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</si>
  <si>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</si>
  <si>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</si>
  <si>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</si>
  <si>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</si>
  <si>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</si>
  <si>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</si>
  <si>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</si>
  <si>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</si>
  <si>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</si>
  <si>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</si>
  <si>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</si>
  <si>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</si>
  <si>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</si>
  <si>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</si>
  <si>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</si>
  <si>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</si>
  <si>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</si>
  <si>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</si>
  <si>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</si>
  <si>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</si>
  <si>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</si>
  <si>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</si>
  <si>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</si>
  <si>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</si>
  <si>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</si>
  <si>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</si>
  <si>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</si>
  <si>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</si>
  <si>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</si>
  <si>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</si>
  <si>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</si>
  <si>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</si>
  <si>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</si>
  <si>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</si>
  <si>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</si>
  <si>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</si>
  <si>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</si>
  <si>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</si>
  <si>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</si>
  <si>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</si>
  <si>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</si>
  <si>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</si>
  <si>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</si>
  <si>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</si>
  <si>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</si>
  <si>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</si>
  <si>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</si>
  <si>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</si>
  <si>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</si>
  <si>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</si>
  <si>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</si>
  <si>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</si>
  <si>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</si>
  <si>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</si>
  <si>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</si>
  <si>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</si>
  <si>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</si>
  <si>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</si>
  <si>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</si>
  <si>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</si>
  <si>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</si>
  <si>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</si>
  <si>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</si>
  <si>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</si>
  <si>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</si>
  <si>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</si>
  <si>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</si>
  <si>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</si>
  <si>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</si>
  <si>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</si>
  <si>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</si>
  <si>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</si>
  <si>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</si>
  <si>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</si>
  <si>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</si>
  <si>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</si>
  <si>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</si>
  <si>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</si>
  <si>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</si>
  <si>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</si>
  <si>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</si>
  <si>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</si>
  <si>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</si>
  <si>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</si>
  <si>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</si>
  <si>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</si>
  <si>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</si>
  <si>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</si>
  <si>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</si>
  <si>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</si>
  <si>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</si>
  <si>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</si>
  <si>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</si>
  <si>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</si>
  <si>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</si>
  <si>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</si>
  <si>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</si>
  <si>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</si>
  <si>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</si>
  <si>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</si>
  <si>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</si>
  <si>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</si>
  <si>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</si>
  <si>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</si>
  <si>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</si>
  <si>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</si>
  <si>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</si>
  <si>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</si>
  <si>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</si>
  <si>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</si>
  <si>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</si>
  <si>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</si>
  <si>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</si>
  <si>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</si>
  <si>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</si>
  <si>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</si>
  <si>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</si>
  <si>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</si>
  <si>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</si>
  <si>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</si>
  <si>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</si>
  <si>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</si>
  <si>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</si>
  <si>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</si>
  <si>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</si>
  <si>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</si>
  <si>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</si>
  <si>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</si>
  <si>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</si>
  <si>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</si>
  <si>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</si>
  <si>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</si>
  <si>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</si>
  <si>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</si>
  <si>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</si>
  <si>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</si>
  <si>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</si>
  <si>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</si>
  <si>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</si>
  <si>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</si>
  <si>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</si>
  <si>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</si>
  <si>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</si>
  <si>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</si>
  <si>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</si>
  <si>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</si>
  <si>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</si>
  <si>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</si>
  <si>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</si>
  <si>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</si>
  <si>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</si>
  <si>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</si>
  <si>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</si>
  <si>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</si>
  <si>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</si>
  <si>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</si>
  <si>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</si>
  <si>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</si>
  <si>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</si>
  <si>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</si>
  <si>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</si>
  <si>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</si>
  <si>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</si>
  <si>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</si>
  <si>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</si>
  <si>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</si>
  <si>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</si>
  <si>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</si>
  <si>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</si>
  <si>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</si>
  <si>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</si>
  <si>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</si>
  <si>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</si>
  <si>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</si>
  <si>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</si>
  <si>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</si>
  <si>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</si>
  <si>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</si>
  <si>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</si>
  <si>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</si>
  <si>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</si>
  <si>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</si>
  <si>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</si>
  <si>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</si>
  <si>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</si>
  <si>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</si>
  <si>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</si>
  <si>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</si>
  <si>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</si>
  <si>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</si>
  <si>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</si>
  <si>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</si>
  <si>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</si>
  <si>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</si>
  <si>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</si>
  <si>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</si>
  <si>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</si>
  <si>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</si>
  <si>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</si>
  <si>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</si>
  <si>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</si>
  <si>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</si>
  <si>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</si>
  <si>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</si>
  <si>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</si>
  <si>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</si>
  <si>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</si>
  <si>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</si>
  <si>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</si>
  <si>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</si>
  <si>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</si>
  <si>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</si>
  <si>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</si>
  <si>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</si>
  <si>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</si>
  <si>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</si>
  <si>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</si>
  <si>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</si>
  <si>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</si>
  <si>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</si>
  <si>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</si>
  <si>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</si>
  <si>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</si>
  <si>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</si>
  <si>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</si>
  <si>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</si>
  <si>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</si>
  <si>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</si>
  <si>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</si>
  <si>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</si>
  <si>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</si>
  <si>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</si>
  <si>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</si>
  <si>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</si>
  <si>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</si>
  <si>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</si>
  <si>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</si>
  <si>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</si>
  <si>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</si>
  <si>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</si>
  <si>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</si>
  <si>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</si>
  <si>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</si>
  <si>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</si>
  <si>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</si>
  <si>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</si>
  <si>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</si>
  <si>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</si>
  <si>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</si>
  <si>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</si>
  <si>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</si>
  <si>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</si>
  <si>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</si>
  <si>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</si>
  <si>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</si>
  <si>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</si>
  <si>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</si>
  <si>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</si>
  <si>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</si>
  <si>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</si>
  <si>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</si>
  <si>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</si>
  <si>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</si>
  <si>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</si>
  <si>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</si>
  <si>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</si>
  <si>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</si>
  <si>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</si>
  <si>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</si>
  <si>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</si>
  <si>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</si>
  <si>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</si>
  <si>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</si>
  <si>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</si>
  <si>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</si>
  <si>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</si>
  <si>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</si>
  <si>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</si>
  <si>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</si>
  <si>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</si>
  <si>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</si>
  <si>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</si>
  <si>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</si>
  <si>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</si>
  <si>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</si>
  <si>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</si>
  <si>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</si>
  <si>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</si>
  <si>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</si>
  <si>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</si>
  <si>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</si>
  <si>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</si>
  <si>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</si>
  <si>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</si>
  <si>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</si>
  <si>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</si>
  <si>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</si>
  <si>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</si>
  <si>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</si>
  <si>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</si>
  <si>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</si>
  <si>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</si>
  <si>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</si>
  <si>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</si>
  <si>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</si>
  <si>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</si>
  <si>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</si>
  <si>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</si>
  <si>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</si>
  <si>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</si>
  <si>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</si>
  <si>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</si>
  <si>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</si>
  <si>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</si>
  <si>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</si>
  <si>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</si>
  <si>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</si>
  <si>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</si>
  <si>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</si>
  <si>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</si>
  <si>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</si>
  <si>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</si>
  <si>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</si>
  <si>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</si>
  <si>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</si>
  <si>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</si>
  <si>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</si>
  <si>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</si>
  <si>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</si>
  <si>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</si>
  <si>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</si>
  <si>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</si>
  <si>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</si>
  <si>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</si>
  <si>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</si>
  <si>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</si>
  <si>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</si>
  <si>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</si>
  <si>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</si>
  <si>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</si>
  <si>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</si>
  <si>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</si>
  <si>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</si>
  <si>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</si>
  <si>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</si>
  <si>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</si>
  <si>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</si>
  <si>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</si>
  <si>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</si>
  <si>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</si>
  <si>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</si>
  <si>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</si>
  <si>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</si>
  <si>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</si>
  <si>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</si>
  <si>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</si>
  <si>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</si>
  <si>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</si>
  <si>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</si>
  <si>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</si>
  <si>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</si>
  <si>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</si>
  <si>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</si>
  <si>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</si>
  <si>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</si>
  <si>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</si>
  <si>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</si>
  <si>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</si>
  <si>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</si>
  <si>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</si>
  <si>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</si>
  <si>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</si>
  <si>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</si>
  <si>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</si>
  <si>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</si>
  <si>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</si>
  <si>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</si>
  <si>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</si>
  <si>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</si>
  <si>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</si>
  <si>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</si>
  <si>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</si>
  <si>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</si>
  <si>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</si>
  <si>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</si>
  <si>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</si>
  <si>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</si>
  <si>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</si>
  <si>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</si>
  <si>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</si>
  <si>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</si>
  <si>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</si>
  <si>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</si>
  <si>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</si>
  <si>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</si>
  <si>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</si>
  <si>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</si>
  <si>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</si>
  <si>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</si>
  <si>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</si>
  <si>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</si>
  <si>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</si>
  <si>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</si>
  <si>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</si>
  <si>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</si>
  <si>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</si>
  <si>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</si>
  <si>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</si>
  <si>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</si>
  <si>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</si>
  <si>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</si>
  <si>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</si>
  <si>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</si>
  <si>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</si>
  <si>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</si>
  <si>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</si>
  <si>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</si>
  <si>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</si>
  <si>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</si>
  <si>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</si>
  <si>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</si>
  <si>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</si>
  <si>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</si>
  <si>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</si>
  <si>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</si>
  <si>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</si>
  <si>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</si>
  <si>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</si>
  <si>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</si>
  <si>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</si>
  <si>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</si>
  <si>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</si>
  <si>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</si>
  <si>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</si>
  <si>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</si>
  <si>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</si>
  <si>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</si>
  <si>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</si>
  <si>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</si>
  <si>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</si>
  <si>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</si>
  <si>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</si>
  <si>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</si>
  <si>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</si>
  <si>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</si>
  <si>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</si>
  <si>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</si>
  <si>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</si>
  <si>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</si>
  <si>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</si>
  <si>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</si>
  <si>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</si>
  <si>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</si>
  <si>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</si>
  <si>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</si>
  <si>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</si>
  <si>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</si>
  <si>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</si>
  <si>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</si>
  <si>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</si>
  <si>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</si>
  <si>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</si>
  <si>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</si>
  <si>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</si>
  <si>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</si>
  <si>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</si>
  <si>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</si>
  <si>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</si>
  <si>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</si>
  <si>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</si>
  <si>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</si>
  <si>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</si>
  <si>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</si>
  <si>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</si>
  <si>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</si>
  <si>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</si>
  <si>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</si>
  <si>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</si>
  <si>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</si>
  <si>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</si>
  <si>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</si>
  <si>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</si>
  <si>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</si>
  <si>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</si>
  <si>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</si>
  <si>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</si>
  <si>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</si>
  <si>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</si>
  <si>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</si>
  <si>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</si>
  <si>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</si>
  <si>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</si>
  <si>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</si>
  <si>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</si>
  <si>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</si>
  <si>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</si>
  <si>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</si>
  <si>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</si>
  <si>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</si>
  <si>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</si>
  <si>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</si>
  <si>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</si>
  <si>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</si>
  <si>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</si>
  <si>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</si>
  <si>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</si>
  <si>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</si>
  <si>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</si>
  <si>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</si>
  <si>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</si>
  <si>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</si>
  <si>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</si>
  <si>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</si>
  <si>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</si>
  <si>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</si>
  <si>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</si>
  <si>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</si>
  <si>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</si>
  <si>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</si>
  <si>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</si>
  <si>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</si>
  <si>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</si>
  <si>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</si>
  <si>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</si>
  <si>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</si>
  <si>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</si>
  <si>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</si>
  <si>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</si>
  <si>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</si>
  <si>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</si>
  <si>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</si>
  <si>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</si>
  <si>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</si>
  <si>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</si>
  <si>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</si>
  <si>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</si>
  <si>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</si>
  <si>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</si>
  <si>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</si>
  <si>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</si>
  <si>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</si>
  <si>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</si>
  <si>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</si>
  <si>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</si>
  <si>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</si>
  <si>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</si>
  <si>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</si>
  <si>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</si>
  <si>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</si>
  <si>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</si>
  <si>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</si>
  <si>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</si>
  <si>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</si>
  <si>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</si>
  <si>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</si>
  <si>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</si>
  <si>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</si>
  <si>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</si>
  <si>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</si>
  <si>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</si>
  <si>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</si>
  <si>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</si>
  <si>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</si>
  <si>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</si>
  <si>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</si>
  <si>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</si>
  <si>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</si>
  <si>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</si>
  <si>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</si>
  <si>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</si>
  <si>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</si>
  <si>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</si>
  <si>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</si>
  <si>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</si>
  <si>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</si>
  <si>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</si>
  <si>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</si>
  <si>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</si>
  <si>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</si>
  <si>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</si>
  <si>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</si>
  <si>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</si>
  <si>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</si>
  <si>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</si>
  <si>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</si>
  <si>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</si>
  <si>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</si>
  <si>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</si>
  <si>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</si>
  <si>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</si>
  <si>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</si>
  <si>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</si>
  <si>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</si>
  <si>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</si>
  <si>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</si>
  <si>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</si>
  <si>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</si>
  <si>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</si>
  <si>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</si>
  <si>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</si>
  <si>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</si>
  <si>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</si>
  <si>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</si>
  <si>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</si>
  <si>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</si>
  <si>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</si>
  <si>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</si>
  <si>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</si>
  <si>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</si>
  <si>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</si>
  <si>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</si>
  <si>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</si>
  <si>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</si>
  <si>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</si>
  <si>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</si>
  <si>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</si>
  <si>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</si>
  <si>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</si>
  <si>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</si>
  <si>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</si>
  <si>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</si>
  <si>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</si>
  <si>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</si>
  <si>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</si>
  <si>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</si>
  <si>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</si>
  <si>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</si>
  <si>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</si>
  <si>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</si>
  <si>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</si>
  <si>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</si>
  <si>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</si>
  <si>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</si>
  <si>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</si>
  <si>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</si>
  <si>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</si>
  <si>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</si>
  <si>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</si>
  <si>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</si>
  <si>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</si>
  <si>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</si>
  <si>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</si>
  <si>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</si>
  <si>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</si>
  <si>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</si>
  <si>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</si>
  <si>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</si>
  <si>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</si>
  <si>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</si>
  <si>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</si>
  <si>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</si>
  <si>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</si>
  <si>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</si>
  <si>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</si>
  <si>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</si>
  <si>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</si>
  <si>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</si>
  <si>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</si>
  <si>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</si>
  <si>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</si>
  <si>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</si>
  <si>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</si>
  <si>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</si>
  <si>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</si>
  <si>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</si>
  <si>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</si>
  <si>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</si>
  <si>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</si>
  <si>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</si>
  <si>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</si>
  <si>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</si>
  <si>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</si>
  <si>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</si>
  <si>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</si>
  <si>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</si>
  <si>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</si>
  <si>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</si>
  <si>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</si>
  <si>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</si>
  <si>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</si>
  <si>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</si>
  <si>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</si>
  <si>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</si>
  <si>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</si>
  <si>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</si>
  <si>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</si>
  <si>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</si>
  <si>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</si>
  <si>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</si>
  <si>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</si>
  <si>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</si>
  <si>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</si>
  <si>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</si>
  <si>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</si>
  <si>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</si>
  <si>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</si>
  <si>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</si>
  <si>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</si>
  <si>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</si>
  <si>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</si>
  <si>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</si>
  <si>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</si>
  <si>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</si>
  <si>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</si>
  <si>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</si>
  <si>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</si>
  <si>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</si>
  <si>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</si>
  <si>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</si>
  <si>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</si>
  <si>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</si>
  <si>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</si>
  <si>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</si>
  <si>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</si>
  <si>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</si>
  <si>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</si>
  <si>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</si>
  <si>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</si>
  <si>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</si>
  <si>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</si>
  <si>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</si>
  <si>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</si>
  <si>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</si>
  <si>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</si>
  <si>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</si>
  <si>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</si>
  <si>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</si>
  <si>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</si>
  <si>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</si>
  <si>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</si>
  <si>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</si>
  <si>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</si>
  <si>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</si>
  <si>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</si>
  <si>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</si>
  <si>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</si>
  <si>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</si>
  <si>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</si>
  <si>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</si>
  <si>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</si>
  <si>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</si>
  <si>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</si>
  <si>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</si>
  <si>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</si>
  <si>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</si>
  <si>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</si>
  <si>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</si>
  <si>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</si>
  <si>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</si>
  <si>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</si>
  <si>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</si>
  <si>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</si>
  <si>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</si>
  <si>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</si>
  <si>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</si>
  <si>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</si>
  <si>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</si>
  <si>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</si>
  <si>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</si>
  <si>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</si>
  <si>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</si>
  <si>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</si>
  <si>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</si>
  <si>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</si>
  <si>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</si>
  <si>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</si>
  <si>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</si>
  <si>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</si>
  <si>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</si>
  <si>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</si>
  <si>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</si>
  <si>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</si>
  <si>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</si>
  <si>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</si>
  <si>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</si>
  <si>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</si>
  <si>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</si>
  <si>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</si>
  <si>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</si>
  <si>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</si>
  <si>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</si>
  <si>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</si>
  <si>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</si>
  <si>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</si>
  <si>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</si>
  <si>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</si>
  <si>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</si>
  <si>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</si>
  <si>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</si>
  <si>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</si>
  <si>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</si>
  <si>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</si>
  <si>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</si>
  <si>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</si>
  <si>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</si>
  <si>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</si>
  <si>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</si>
  <si>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</si>
  <si>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</si>
  <si>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</si>
  <si>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</si>
  <si>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</si>
  <si>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</si>
  <si>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</si>
  <si>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</si>
  <si>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</si>
  <si>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</si>
  <si>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</si>
  <si>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</si>
  <si>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</si>
  <si>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</si>
  <si>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</si>
  <si>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</si>
  <si>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</si>
  <si>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</si>
  <si>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</si>
  <si>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</si>
  <si>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</si>
  <si>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</si>
  <si>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</si>
  <si>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</si>
  <si>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</si>
  <si>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</si>
  <si>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</si>
  <si>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</si>
  <si>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</si>
  <si>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</si>
  <si>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</si>
  <si>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</si>
  <si>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</si>
  <si>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</si>
  <si>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</si>
  <si>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</si>
  <si>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</si>
  <si>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</si>
  <si>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</si>
  <si>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</si>
  <si>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</si>
  <si>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</si>
  <si>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</si>
  <si>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</si>
  <si>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</si>
  <si>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</si>
  <si>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</si>
  <si>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</si>
  <si>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</si>
  <si>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</si>
  <si>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</si>
  <si>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</si>
  <si>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</si>
  <si>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</si>
  <si>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</si>
  <si>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</si>
  <si>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</si>
  <si>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</si>
  <si>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</si>
  <si>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</si>
  <si>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</si>
  <si>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</si>
  <si>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</si>
  <si>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</si>
  <si>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</si>
  <si>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</si>
  <si>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</si>
  <si>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</si>
  <si>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</si>
  <si>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</si>
  <si>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</si>
  <si>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</si>
  <si>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</si>
  <si>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</si>
  <si>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</si>
  <si>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</si>
  <si>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</si>
  <si>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</si>
  <si>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</si>
  <si>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</si>
  <si>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</si>
  <si>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</si>
  <si>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</si>
  <si>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</si>
  <si>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</si>
  <si>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</si>
  <si>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</si>
  <si>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</si>
  <si>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</si>
  <si>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</si>
  <si>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</si>
  <si>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</si>
  <si>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</si>
  <si>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</si>
  <si>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</si>
  <si>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</si>
  <si>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</si>
  <si>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</si>
  <si>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</si>
  <si>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</si>
  <si>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</si>
  <si>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</si>
  <si>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</si>
  <si>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</si>
  <si>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</si>
  <si>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</si>
  <si>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</si>
  <si>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</si>
  <si>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</si>
  <si>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</si>
  <si>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</si>
  <si>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</si>
  <si>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</si>
  <si>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</si>
  <si>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</si>
  <si>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</si>
  <si>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</si>
  <si>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</si>
  <si>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</si>
  <si>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</si>
  <si>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</si>
  <si>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</si>
  <si>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</si>
  <si>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</si>
  <si>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</si>
  <si>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</si>
  <si>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</si>
  <si>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</si>
  <si>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</si>
  <si>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</si>
  <si>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</si>
  <si>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</si>
  <si>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</si>
  <si>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</si>
  <si>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</si>
  <si>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</si>
  <si>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</si>
  <si>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</si>
  <si>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</si>
  <si>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</si>
  <si>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</si>
  <si>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</si>
  <si>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</si>
  <si>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</si>
  <si>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</si>
  <si>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</si>
  <si>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</si>
  <si>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</si>
  <si>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</si>
  <si>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</si>
  <si>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</si>
  <si>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</si>
  <si>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</si>
  <si>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</si>
  <si>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</si>
  <si>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</si>
  <si>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</si>
  <si>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</si>
  <si>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</si>
  <si>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</si>
  <si>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</si>
  <si>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</si>
  <si>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</si>
  <si>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</si>
  <si>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</si>
  <si>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</si>
  <si>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</si>
  <si>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</si>
  <si>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</si>
  <si>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</si>
  <si>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</si>
  <si>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</si>
  <si>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</si>
  <si>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</si>
  <si>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</si>
  <si>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</si>
  <si>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</si>
  <si>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</si>
  <si>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</si>
  <si>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</si>
  <si>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</si>
  <si>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</si>
  <si>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</si>
  <si>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</si>
  <si>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</si>
  <si>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</si>
  <si>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</si>
  <si>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</si>
  <si>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</si>
  <si>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</si>
  <si>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</si>
  <si>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</si>
  <si>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</si>
  <si>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</si>
  <si>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</si>
  <si>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</si>
  <si>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</si>
  <si>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</si>
  <si>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</si>
  <si>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</si>
  <si>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</si>
  <si>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</si>
  <si>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</si>
  <si>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</si>
  <si>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</si>
  <si>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</si>
  <si>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</si>
  <si>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</si>
  <si>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</si>
  <si>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</si>
  <si>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</si>
  <si>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</si>
  <si>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</si>
  <si>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</si>
  <si>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</si>
  <si>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</si>
  <si>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</si>
  <si>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</si>
  <si>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</si>
  <si>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</si>
  <si>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</si>
  <si>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</si>
  <si>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</si>
  <si>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</si>
  <si>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</si>
  <si>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</si>
  <si>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</si>
  <si>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</si>
  <si>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</si>
  <si>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</si>
  <si>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</si>
  <si>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</si>
  <si>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</si>
  <si>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</si>
  <si>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</si>
  <si>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</si>
  <si>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</si>
  <si>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</si>
  <si>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</si>
  <si>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</si>
  <si>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</si>
  <si>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</si>
  <si>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</si>
  <si>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</si>
  <si>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</si>
  <si>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</si>
  <si>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</si>
  <si>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</si>
  <si>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</si>
  <si>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</si>
  <si>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</si>
  <si>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</si>
  <si>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</si>
  <si>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</si>
  <si>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</si>
  <si>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</si>
  <si>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</si>
  <si>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</si>
  <si>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</si>
  <si>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</si>
  <si>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</si>
  <si>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</si>
  <si>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</si>
  <si>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</si>
  <si>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</si>
  <si>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</si>
  <si>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</si>
  <si>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</si>
  <si>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</si>
  <si>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</si>
  <si>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</si>
  <si>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</si>
  <si>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</si>
  <si>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</si>
  <si>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</si>
  <si>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</si>
  <si>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</si>
  <si>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</si>
  <si>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</si>
  <si>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</si>
  <si>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</si>
  <si>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</si>
  <si>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</si>
  <si>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</si>
  <si>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</si>
  <si>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</si>
  <si>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</si>
  <si>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</si>
  <si>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</si>
  <si>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</si>
  <si>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</si>
  <si>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</si>
  <si>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</si>
  <si>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</si>
  <si>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</si>
  <si>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</si>
  <si>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</si>
  <si>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</si>
  <si>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</si>
  <si>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</si>
  <si>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</si>
  <si>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</si>
  <si>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</si>
  <si>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</si>
  <si>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</si>
  <si>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</si>
  <si>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</si>
  <si>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</si>
  <si>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</si>
  <si>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</si>
  <si>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</si>
  <si>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</si>
  <si>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</si>
  <si>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</si>
  <si>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</si>
  <si>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</si>
  <si>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</si>
  <si>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</si>
  <si>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</si>
  <si>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</si>
  <si>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</si>
  <si>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</si>
  <si>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</si>
  <si>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</si>
  <si>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</si>
  <si>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</si>
  <si>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</si>
  <si>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</si>
  <si>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</si>
  <si>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</si>
  <si>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</si>
  <si>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</si>
  <si>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</si>
  <si>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</si>
  <si>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</si>
  <si>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</si>
  <si>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</si>
  <si>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</si>
  <si>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</si>
  <si>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</si>
  <si>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</si>
  <si>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</si>
  <si>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</si>
  <si>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</si>
  <si>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</si>
  <si>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</si>
  <si>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</si>
  <si>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</si>
  <si>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</si>
  <si>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</si>
  <si>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</si>
  <si>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</si>
  <si>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</si>
  <si>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</si>
  <si>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</si>
  <si>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</si>
  <si>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</si>
  <si>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</si>
  <si>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</si>
  <si>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</si>
  <si>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</si>
  <si>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</si>
  <si>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</si>
  <si>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</si>
  <si>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</si>
  <si>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</si>
  <si>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</si>
  <si>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</si>
  <si>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</si>
  <si>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</si>
  <si>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</si>
  <si>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</si>
  <si>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</si>
  <si>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</si>
  <si>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</si>
  <si>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</si>
  <si>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</si>
  <si>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</si>
  <si>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</si>
  <si>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</si>
  <si>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</si>
  <si>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</si>
  <si>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</si>
  <si>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</si>
  <si>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</si>
  <si>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</si>
  <si>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</si>
  <si>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</si>
  <si>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</si>
  <si>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</si>
  <si>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</si>
  <si>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</si>
  <si>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</si>
  <si>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</si>
  <si>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</si>
  <si>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</si>
  <si>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</si>
  <si>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</si>
  <si>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</si>
  <si>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</si>
  <si>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</si>
  <si>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</si>
  <si>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</si>
  <si>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</si>
  <si>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</si>
  <si>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</si>
  <si>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</si>
  <si>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</si>
  <si>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</si>
  <si>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</si>
  <si>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</si>
  <si>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</si>
  <si>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</si>
  <si>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</si>
  <si>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</si>
  <si>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</si>
  <si>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</si>
  <si>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</si>
  <si>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</si>
  <si>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</si>
  <si>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</si>
  <si>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</si>
  <si>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</si>
  <si>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</si>
  <si>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</si>
  <si>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</si>
  <si>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</si>
  <si>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</si>
  <si>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</si>
  <si>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</si>
  <si>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</si>
  <si>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</si>
  <si>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</si>
  <si>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</si>
  <si>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</si>
  <si>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</si>
  <si>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</si>
  <si>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</si>
  <si>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</si>
  <si>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</si>
  <si>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</si>
  <si>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</si>
  <si>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</si>
  <si>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</si>
  <si>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</si>
  <si>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</si>
  <si>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</si>
  <si>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</si>
  <si>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</si>
  <si>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</si>
  <si>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</si>
  <si>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</si>
  <si>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</si>
  <si>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</si>
  <si>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</si>
  <si>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</si>
  <si>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</si>
  <si>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</si>
  <si>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</si>
  <si>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</si>
  <si>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</si>
  <si>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</si>
  <si>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</si>
  <si>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</si>
  <si>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</si>
  <si>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</si>
  <si>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</si>
  <si>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</si>
  <si>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</si>
  <si>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</si>
  <si>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</si>
  <si>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</si>
  <si>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</si>
  <si>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</si>
  <si>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</si>
  <si>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</si>
  <si>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</si>
  <si>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</si>
  <si>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</si>
  <si>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</si>
  <si>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</si>
  <si>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</si>
  <si>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</si>
  <si>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</si>
  <si>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</si>
  <si>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</si>
  <si>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</si>
  <si>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</si>
  <si>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</si>
  <si>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</si>
  <si>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</si>
  <si>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</si>
  <si>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</si>
  <si>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</si>
  <si>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</si>
  <si>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</si>
  <si>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</si>
  <si>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</si>
  <si>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</si>
  <si>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</si>
  <si>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</si>
  <si>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</si>
  <si>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</si>
  <si>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</si>
  <si>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</si>
  <si>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</si>
  <si>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</si>
  <si>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</si>
  <si>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</si>
  <si>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</si>
  <si>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</si>
  <si>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</si>
  <si>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</si>
  <si>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</si>
  <si>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</si>
  <si>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</si>
  <si>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</si>
  <si>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</si>
  <si>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</si>
  <si>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</si>
  <si>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</si>
  <si>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</si>
  <si>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</si>
  <si>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</si>
  <si>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</si>
  <si>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</si>
  <si>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</si>
  <si>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</si>
  <si>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</si>
  <si>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</si>
  <si>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</si>
  <si>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</si>
  <si>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</si>
  <si>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</si>
  <si>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</si>
  <si>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</si>
  <si>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</si>
  <si>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</si>
  <si>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</si>
  <si>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</si>
  <si>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</si>
  <si>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</si>
  <si>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</si>
  <si>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</si>
  <si>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</si>
  <si>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</si>
  <si>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</si>
  <si>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</si>
  <si>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</si>
  <si>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</si>
  <si>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</si>
  <si>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</si>
  <si>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</si>
  <si>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</si>
  <si>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</si>
  <si>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</si>
  <si>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</si>
  <si>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</si>
  <si>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</si>
  <si>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</si>
  <si>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</si>
  <si>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</si>
  <si>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</si>
  <si>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</si>
  <si>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</si>
  <si>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</si>
  <si>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</si>
  <si>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</si>
  <si>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</si>
  <si>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</si>
  <si>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</si>
  <si>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</si>
  <si>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</si>
  <si>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</si>
  <si>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</si>
  <si>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</si>
  <si>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</si>
  <si>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</si>
  <si>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</si>
  <si>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</si>
  <si>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</si>
  <si>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</si>
  <si>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</si>
  <si>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</si>
  <si>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</si>
  <si>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</si>
  <si>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</si>
  <si>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</si>
  <si>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</si>
  <si>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</si>
  <si>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</si>
  <si>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</si>
  <si>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</si>
  <si>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</si>
  <si>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</si>
  <si>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</si>
  <si>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</si>
  <si>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</si>
  <si>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</si>
  <si>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</si>
  <si>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</si>
  <si>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</si>
  <si>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</si>
  <si>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</si>
  <si>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</si>
  <si>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</si>
  <si>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</si>
  <si>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</si>
  <si>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</si>
  <si>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</si>
  <si>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</si>
  <si>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</si>
  <si>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</si>
  <si>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</si>
  <si>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</si>
  <si>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</si>
  <si>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</si>
  <si>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</si>
  <si>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</si>
  <si>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</si>
  <si>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</si>
  <si>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</si>
  <si>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</si>
  <si>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</si>
  <si>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</si>
  <si>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</si>
  <si>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</si>
  <si>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</si>
  <si>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</si>
  <si>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</si>
  <si>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</si>
  <si>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</si>
  <si>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</si>
  <si>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</si>
  <si>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</si>
  <si>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</si>
  <si>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</si>
  <si>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</si>
  <si>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</si>
  <si>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</si>
  <si>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</si>
  <si>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</si>
  <si>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</si>
  <si>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</si>
  <si>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</si>
  <si>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</si>
  <si>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</si>
  <si>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</si>
  <si>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</si>
  <si>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</si>
  <si>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</si>
  <si>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</si>
  <si>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</si>
  <si>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</si>
  <si>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</si>
  <si>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</si>
  <si>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</si>
  <si>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</si>
  <si>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</si>
  <si>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</si>
  <si>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</si>
  <si>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</si>
  <si>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</si>
  <si>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</si>
  <si>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</si>
  <si>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</si>
  <si>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</si>
  <si>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</si>
  <si>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</si>
  <si>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</si>
  <si>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</si>
  <si>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</si>
  <si>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</si>
  <si>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</si>
  <si>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</si>
  <si>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</si>
  <si>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</si>
  <si>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</si>
  <si>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</si>
  <si>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</si>
  <si>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</si>
  <si>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</si>
  <si>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</si>
  <si>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</si>
  <si>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</si>
  <si>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</si>
  <si>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</si>
  <si>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</si>
  <si>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</si>
  <si>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</si>
  <si>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</si>
  <si>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</si>
  <si>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</si>
  <si>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</si>
  <si>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</si>
  <si>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</si>
  <si>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</si>
  <si>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</si>
  <si>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</si>
  <si>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</si>
  <si>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</si>
  <si>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</si>
  <si>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</si>
  <si>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</si>
  <si>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</si>
  <si>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</si>
  <si>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</si>
  <si>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</si>
  <si>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</si>
  <si>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</si>
  <si>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</si>
  <si>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</si>
  <si>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</si>
  <si>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</si>
  <si>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</si>
  <si>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</si>
  <si>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</si>
  <si>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</si>
  <si>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</si>
  <si>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</si>
  <si>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</si>
  <si>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</si>
  <si>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</si>
  <si>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</si>
  <si>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</si>
  <si>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</si>
  <si>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</si>
  <si>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</si>
  <si>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</si>
  <si>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</si>
  <si>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</si>
  <si>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</si>
  <si>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</si>
  <si>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</si>
  <si>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</si>
  <si>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</si>
  <si>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</si>
  <si>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</si>
  <si>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</si>
  <si>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</si>
  <si>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</si>
  <si>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</si>
  <si>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</si>
  <si>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</si>
  <si>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</si>
  <si>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</si>
  <si>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</si>
  <si>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</si>
  <si>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</si>
  <si>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</si>
  <si>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</si>
  <si>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</si>
  <si>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</si>
  <si>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</si>
  <si>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</si>
  <si>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</si>
  <si>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</si>
  <si>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</si>
  <si>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</si>
  <si>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</si>
  <si>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</si>
  <si>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</si>
  <si>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</si>
  <si>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</si>
  <si>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</si>
  <si>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</si>
  <si>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</si>
  <si>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</si>
  <si>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</si>
  <si>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</si>
  <si>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</si>
  <si>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</si>
  <si>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</si>
  <si>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</si>
  <si>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</si>
  <si>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</si>
  <si>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</si>
  <si>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</si>
  <si>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</si>
  <si>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</si>
  <si>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</si>
  <si>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</si>
  <si>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</si>
  <si>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</si>
  <si>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</si>
  <si>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</si>
  <si>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</si>
  <si>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</si>
  <si>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</si>
  <si>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</si>
  <si>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</si>
  <si>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</si>
  <si>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</si>
  <si>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</si>
  <si>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</si>
  <si>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</si>
  <si>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</si>
  <si>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</si>
  <si>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</si>
  <si>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</si>
  <si>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</si>
  <si>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</si>
  <si>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</si>
  <si>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</si>
  <si>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</si>
  <si>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</si>
  <si>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</si>
  <si>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</si>
  <si>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</si>
  <si>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</si>
  <si>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</si>
  <si>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</si>
  <si>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</si>
  <si>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</si>
  <si>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</si>
  <si>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</si>
  <si>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</si>
  <si>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</si>
  <si>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</si>
  <si>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</si>
  <si>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</si>
  <si>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</si>
  <si>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</si>
  <si>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</si>
  <si>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</si>
  <si>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</si>
  <si>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</si>
  <si>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</si>
  <si>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</si>
  <si>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</si>
  <si>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</si>
  <si>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</si>
  <si>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</si>
  <si>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</si>
  <si>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</si>
  <si>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</si>
  <si>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</si>
  <si>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</si>
  <si>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</si>
  <si>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</si>
  <si>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</si>
  <si>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</si>
  <si>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</si>
  <si>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</si>
  <si>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</si>
  <si>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</si>
  <si>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</si>
  <si>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</si>
  <si>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</si>
  <si>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</si>
  <si>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</si>
  <si>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</si>
  <si>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</si>
  <si>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</si>
  <si>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</si>
  <si>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</si>
  <si>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</si>
  <si>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</si>
  <si>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</si>
  <si>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</si>
  <si>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</si>
  <si>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</si>
  <si>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</si>
  <si>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</si>
  <si>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</si>
  <si>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</si>
  <si>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</si>
  <si>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</si>
  <si>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</si>
  <si>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</si>
  <si>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</si>
  <si>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</si>
  <si>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</si>
  <si>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</si>
  <si>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</si>
  <si>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</si>
  <si>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</si>
  <si>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</si>
  <si>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</si>
  <si>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</si>
  <si>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</si>
  <si>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</si>
  <si>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</si>
  <si>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</si>
  <si>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</si>
  <si>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</si>
  <si>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</si>
  <si>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</si>
  <si>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</si>
  <si>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</si>
  <si>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</si>
  <si>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</si>
  <si>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</si>
  <si>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</si>
  <si>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</si>
  <si>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</si>
  <si>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</si>
  <si>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</si>
  <si>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</si>
  <si>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</si>
  <si>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</si>
  <si>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</si>
  <si>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</si>
  <si>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</si>
  <si>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</si>
  <si>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</si>
  <si>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</si>
  <si>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</si>
  <si>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</si>
  <si>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</si>
  <si>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</si>
  <si>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</si>
  <si>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</si>
  <si>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</si>
  <si>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</si>
  <si>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</si>
  <si>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</si>
  <si>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</si>
  <si>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</si>
  <si>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</si>
  <si>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</si>
  <si>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</si>
  <si>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</si>
  <si>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</si>
  <si>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</si>
  <si>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</si>
  <si>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</si>
  <si>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</si>
  <si>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</si>
  <si>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</si>
  <si>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</si>
  <si>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</si>
  <si>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</si>
  <si>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</si>
  <si>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</si>
  <si>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</si>
  <si>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</si>
  <si>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</si>
  <si>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</si>
  <si>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</si>
  <si>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</si>
  <si>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</si>
  <si>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</si>
  <si>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</si>
  <si>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</si>
  <si>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</si>
  <si>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</si>
  <si>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</si>
  <si>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</si>
  <si>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</si>
  <si>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</si>
  <si>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</si>
  <si>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</si>
  <si>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</si>
  <si>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</si>
  <si>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</si>
  <si>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</si>
  <si>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</si>
  <si>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</si>
  <si>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</si>
  <si>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</si>
  <si>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</si>
  <si>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</si>
  <si>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</si>
  <si>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</si>
  <si>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</si>
  <si>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</si>
  <si>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</si>
  <si>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</si>
  <si>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</si>
  <si>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</si>
  <si>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</si>
  <si>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</si>
  <si>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</si>
  <si>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</si>
  <si>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</si>
  <si>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</si>
  <si>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</si>
  <si>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</si>
  <si>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</si>
  <si>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</si>
  <si>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</si>
  <si>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</si>
  <si>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</si>
  <si>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</si>
  <si>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</si>
  <si>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</si>
  <si>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</si>
  <si>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</si>
  <si>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</si>
  <si>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</si>
  <si>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</si>
  <si>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</si>
  <si>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</si>
  <si>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</si>
  <si>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</si>
  <si>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</si>
  <si>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</si>
  <si>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</si>
  <si>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</si>
  <si>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</si>
  <si>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</si>
  <si>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</si>
  <si>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</si>
  <si>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</si>
  <si>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</si>
  <si>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</si>
  <si>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</si>
  <si>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</si>
  <si>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</si>
  <si>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</si>
  <si>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</si>
  <si>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</si>
  <si>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</si>
  <si>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</si>
  <si>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</si>
  <si>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</si>
  <si>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</si>
  <si>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</si>
  <si>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</si>
  <si>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</si>
  <si>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</si>
  <si>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</si>
  <si>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</si>
  <si>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</si>
  <si>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</si>
  <si>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</si>
  <si>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</si>
  <si>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</si>
  <si>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</si>
  <si>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</si>
  <si>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</si>
  <si>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</si>
  <si>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</si>
  <si>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</si>
  <si>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</si>
  <si>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</si>
  <si>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</si>
  <si>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</si>
  <si>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</si>
  <si>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</si>
  <si>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</si>
  <si>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</si>
  <si>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</si>
  <si>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</si>
  <si>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</si>
  <si>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</si>
  <si>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</si>
  <si>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</si>
  <si>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</si>
  <si>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</si>
  <si>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</si>
  <si>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</si>
  <si>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</si>
  <si>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</si>
  <si>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</si>
  <si>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</si>
  <si>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</si>
  <si>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</si>
  <si>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</si>
  <si>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</si>
  <si>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</si>
  <si>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</si>
  <si>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</si>
  <si>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</si>
  <si>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</si>
  <si>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</si>
  <si>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</si>
  <si>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</si>
  <si>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</si>
  <si>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</si>
  <si>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</si>
  <si>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</si>
  <si>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</si>
  <si>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</si>
  <si>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</si>
  <si>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</si>
  <si>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</si>
  <si>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</si>
  <si>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</si>
  <si>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</si>
  <si>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</si>
  <si>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</si>
  <si>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</si>
  <si>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</si>
  <si>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</si>
  <si>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</si>
  <si>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</si>
  <si>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</si>
  <si>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</si>
  <si>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</si>
  <si>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</si>
  <si>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</si>
  <si>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</si>
  <si>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</si>
  <si>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</si>
  <si>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</si>
  <si>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</si>
  <si>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</si>
  <si>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</si>
  <si>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</si>
  <si>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</si>
  <si>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</si>
  <si>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</si>
  <si>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</si>
  <si>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</si>
  <si>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</si>
  <si>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</si>
  <si>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</si>
  <si>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</si>
  <si>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</si>
  <si>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</si>
  <si>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</si>
  <si>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</si>
  <si>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</si>
  <si>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</si>
  <si>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</si>
  <si>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</si>
  <si>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</si>
  <si>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</si>
  <si>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</si>
  <si>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</si>
  <si>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</si>
  <si>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</si>
  <si>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</si>
  <si>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</si>
  <si>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</si>
  <si>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</si>
  <si>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</si>
  <si>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</si>
  <si>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</si>
  <si>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</si>
  <si>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</si>
  <si>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</si>
  <si>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</si>
  <si>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</si>
  <si>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</si>
  <si>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</si>
  <si>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</si>
  <si>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</si>
  <si>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</si>
  <si>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</si>
  <si>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</si>
  <si>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</si>
  <si>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</si>
  <si>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</si>
  <si>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</si>
  <si>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</si>
  <si>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</si>
  <si>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</si>
  <si>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</si>
  <si>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</si>
  <si>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</si>
  <si>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</si>
  <si>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</si>
  <si>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</si>
  <si>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</si>
  <si>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</si>
  <si>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</si>
  <si>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</si>
  <si>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</si>
  <si>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</si>
  <si>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</si>
  <si>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</si>
  <si>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</si>
  <si>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</si>
  <si>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</si>
  <si>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</si>
  <si>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</si>
  <si>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</si>
  <si>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</si>
  <si>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</si>
  <si>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</si>
  <si>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</si>
  <si>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</si>
  <si>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</si>
  <si>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</si>
  <si>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</si>
  <si>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</si>
  <si>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</si>
  <si>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</si>
  <si>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</si>
  <si>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</si>
  <si>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</si>
  <si>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</si>
  <si>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</si>
  <si>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</si>
  <si>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</si>
  <si>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</si>
  <si>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</si>
  <si>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</si>
  <si>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</si>
  <si>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</si>
  <si>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</si>
  <si>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</si>
  <si>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</si>
  <si>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</si>
  <si>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</si>
  <si>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</si>
  <si>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</si>
  <si>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</si>
  <si>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</si>
  <si>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</si>
  <si>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</si>
  <si>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</si>
  <si>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</si>
  <si>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</si>
  <si>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</si>
  <si>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</si>
  <si>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</si>
  <si>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</si>
  <si>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</si>
  <si>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</si>
  <si>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</si>
  <si>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</si>
  <si>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</si>
  <si>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</si>
  <si>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</si>
  <si>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</si>
  <si>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</si>
  <si>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</si>
  <si>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</si>
  <si>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</si>
  <si>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</si>
  <si>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</si>
  <si>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</si>
  <si>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</si>
  <si>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</si>
  <si>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</si>
  <si>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</si>
  <si>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</si>
  <si>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</si>
  <si>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</si>
  <si>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</si>
  <si>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</si>
  <si>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</si>
  <si>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</si>
  <si>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</si>
  <si>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</si>
  <si>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</si>
  <si>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</si>
  <si>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</si>
  <si>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</si>
  <si>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</si>
  <si>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</si>
  <si>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</si>
  <si>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</si>
  <si>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</si>
  <si>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</si>
  <si>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</si>
  <si>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</si>
  <si>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</si>
  <si>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</si>
  <si>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</si>
  <si>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</si>
  <si>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</si>
  <si>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</si>
  <si>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</si>
  <si>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</si>
  <si>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</si>
  <si>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</si>
  <si>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</si>
  <si>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</si>
  <si>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</si>
  <si>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</si>
  <si>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</si>
  <si>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</si>
  <si>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</si>
  <si>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</si>
  <si>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</si>
  <si>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</si>
  <si>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</si>
  <si>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</si>
  <si>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</si>
  <si>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</si>
  <si>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</si>
  <si>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</si>
  <si>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</si>
  <si>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</si>
  <si>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</si>
  <si>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</si>
  <si>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</si>
  <si>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</si>
  <si>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</si>
  <si>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</si>
  <si>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</si>
  <si>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</si>
  <si>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</si>
  <si>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</si>
  <si>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</si>
  <si>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</si>
  <si>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</si>
  <si>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</si>
  <si>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</si>
  <si>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</si>
  <si>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</si>
  <si>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</si>
  <si>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</si>
  <si>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</si>
  <si>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</si>
  <si>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</si>
  <si>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</si>
  <si>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</si>
  <si>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</si>
  <si>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</si>
  <si>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</si>
  <si>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</si>
  <si>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</si>
  <si>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</si>
  <si>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</si>
  <si>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</si>
  <si>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</si>
  <si>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</si>
  <si>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</si>
  <si>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</si>
  <si>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</si>
  <si>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</si>
  <si>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</si>
  <si>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</si>
  <si>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</si>
  <si>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</si>
  <si>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</si>
  <si>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</si>
  <si>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</si>
  <si>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</si>
  <si>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</si>
  <si>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</si>
  <si>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</si>
  <si>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</si>
  <si>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</si>
  <si>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</si>
  <si>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</si>
  <si>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</si>
  <si>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</si>
  <si>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</si>
  <si>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</si>
  <si>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</si>
  <si>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</si>
  <si>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</si>
  <si>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</si>
  <si>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</si>
  <si>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</si>
  <si>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</si>
  <si>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</si>
  <si>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</si>
  <si>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</si>
  <si>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</si>
  <si>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</si>
  <si>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</si>
  <si>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</si>
  <si>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</si>
  <si>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</si>
  <si>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</si>
  <si>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</si>
  <si>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</si>
  <si>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</si>
  <si>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</si>
  <si>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</si>
  <si>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</si>
  <si>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</si>
  <si>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</si>
  <si>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</si>
  <si>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</si>
  <si>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</si>
  <si>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</si>
  <si>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</si>
  <si>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</si>
  <si>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</si>
  <si>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</si>
  <si>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</si>
  <si>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</si>
  <si>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</si>
  <si>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</si>
  <si>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</si>
  <si>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</si>
  <si>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</si>
  <si>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</si>
  <si>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</si>
  <si>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</si>
  <si>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</si>
  <si>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</si>
  <si>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</si>
  <si>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</si>
  <si>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</si>
  <si>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</si>
  <si>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</si>
  <si>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</si>
  <si>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</si>
  <si>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</si>
  <si>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</si>
  <si>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</si>
  <si>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</si>
  <si>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</si>
  <si>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</si>
  <si>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</si>
  <si>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</si>
  <si>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</si>
  <si>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</si>
  <si>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</si>
  <si>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</si>
  <si>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</si>
  <si>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</si>
  <si>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</si>
  <si>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</si>
  <si>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</si>
  <si>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</si>
  <si>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</si>
  <si>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</si>
  <si>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</si>
  <si>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</si>
  <si>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</si>
  <si>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</si>
  <si>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</si>
  <si>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</si>
  <si>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</si>
  <si>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</si>
  <si>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</si>
  <si>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</si>
  <si>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</si>
  <si>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</si>
  <si>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</si>
  <si>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</si>
  <si>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</si>
  <si>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</si>
  <si>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</si>
  <si>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</si>
  <si>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</si>
  <si>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</si>
  <si>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</si>
  <si>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</si>
  <si>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</si>
  <si>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</si>
  <si>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</si>
  <si>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</si>
  <si>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</si>
  <si>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</si>
  <si>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</si>
  <si>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</si>
  <si>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</si>
  <si>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</si>
  <si>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</si>
  <si>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</si>
  <si>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</si>
  <si>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</si>
  <si>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</si>
  <si>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</si>
  <si>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</si>
  <si>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</si>
  <si>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</si>
  <si>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</si>
  <si>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</si>
  <si>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</si>
  <si>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</si>
  <si>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</si>
  <si>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</si>
  <si>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</si>
  <si>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</si>
  <si>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</si>
  <si>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</si>
  <si>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</si>
  <si>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</si>
  <si>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</si>
  <si>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</si>
  <si>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</si>
  <si>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</si>
  <si>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</si>
  <si>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</si>
  <si>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</si>
  <si>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</si>
  <si>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</si>
  <si>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</si>
  <si>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</si>
  <si>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</si>
  <si>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</si>
  <si>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</si>
  <si>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</si>
  <si>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</si>
  <si>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</si>
  <si>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</si>
  <si>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</si>
  <si>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</si>
  <si>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</si>
  <si>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</si>
  <si>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</si>
  <si>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</si>
  <si>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</si>
  <si>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</si>
  <si>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</si>
  <si>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</si>
  <si>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</si>
  <si>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</si>
  <si>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</si>
  <si>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</si>
  <si>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</si>
  <si>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</si>
  <si>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</si>
  <si>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</si>
  <si>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</si>
  <si>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</si>
  <si>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</si>
  <si>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</si>
  <si>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</si>
  <si>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</si>
  <si>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</si>
  <si>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</si>
  <si>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</si>
  <si>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</si>
  <si>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</si>
  <si>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</si>
  <si>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</si>
  <si>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</si>
  <si>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</si>
  <si>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</si>
  <si>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</si>
  <si>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</si>
  <si>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</si>
  <si>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</si>
  <si>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</si>
  <si>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</si>
  <si>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</si>
  <si>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</si>
  <si>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</si>
  <si>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</si>
  <si>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</si>
  <si>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</si>
  <si>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</si>
  <si>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</si>
  <si>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</si>
  <si>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</si>
  <si>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</si>
  <si>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</si>
  <si>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</si>
  <si>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</si>
  <si>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</si>
  <si>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</si>
  <si>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</si>
  <si>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</si>
  <si>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</si>
  <si>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</si>
  <si>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</si>
  <si>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</si>
  <si>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</si>
  <si>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</si>
  <si>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</si>
  <si>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</si>
  <si>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</si>
  <si>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</si>
  <si>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</si>
  <si>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</si>
  <si>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</si>
  <si>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</si>
  <si>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</si>
  <si>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</si>
  <si>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</si>
  <si>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</si>
  <si>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</si>
  <si>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</si>
  <si>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</si>
  <si>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</si>
  <si>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</si>
  <si>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</si>
  <si>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</si>
  <si>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</si>
  <si>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</si>
  <si>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</si>
  <si>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</si>
  <si>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</si>
  <si>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</si>
  <si>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</si>
  <si>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</si>
  <si>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</si>
  <si>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</si>
  <si>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</si>
  <si>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</si>
  <si>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</si>
  <si>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</si>
  <si>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</si>
  <si>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</si>
  <si>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</si>
  <si>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</si>
  <si>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</si>
  <si>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</si>
  <si>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</si>
  <si>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</si>
  <si>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</si>
  <si>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</si>
  <si>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</si>
  <si>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</si>
  <si>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</si>
  <si>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</si>
  <si>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</si>
  <si>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</si>
  <si>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</si>
  <si>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</si>
  <si>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</si>
  <si>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</si>
  <si>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</si>
  <si>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</si>
  <si>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</si>
  <si>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</si>
  <si>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</si>
  <si>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</si>
  <si>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</si>
  <si>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</si>
  <si>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</si>
  <si>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</si>
  <si>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</si>
  <si>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</si>
  <si>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</si>
  <si>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</si>
  <si>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</si>
  <si>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</si>
  <si>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</si>
  <si>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</si>
  <si>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</si>
  <si>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</si>
  <si>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</si>
  <si>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</si>
  <si>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</si>
  <si>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</si>
  <si>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</si>
  <si>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</si>
  <si>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</si>
  <si>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</si>
  <si>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</si>
  <si>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</si>
  <si>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</si>
  <si>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</si>
  <si>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</si>
  <si>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</si>
  <si>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</si>
  <si>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</si>
  <si>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</si>
  <si>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</si>
  <si>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</si>
  <si>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</si>
  <si>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</si>
  <si>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</si>
  <si>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</si>
  <si>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</si>
  <si>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</si>
  <si>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</si>
  <si>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</si>
  <si>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</si>
  <si>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</si>
  <si>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</si>
  <si>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</si>
  <si>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</si>
  <si>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</si>
  <si>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</si>
  <si>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</si>
  <si>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</si>
  <si>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</si>
  <si>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</si>
  <si>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</si>
  <si>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</si>
  <si>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</si>
  <si>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</si>
  <si>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</si>
  <si>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</si>
  <si>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</si>
  <si>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</si>
  <si>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</si>
  <si>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</si>
  <si>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</si>
  <si>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</si>
  <si>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</si>
  <si>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</si>
  <si>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</si>
  <si>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</si>
  <si>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</si>
  <si>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</si>
  <si>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</si>
  <si>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</si>
  <si>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</si>
  <si>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</si>
  <si>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</si>
  <si>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</si>
  <si>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</si>
  <si>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</si>
  <si>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</si>
  <si>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</si>
  <si>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</si>
  <si>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</si>
  <si>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</si>
  <si>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</si>
  <si>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</si>
  <si>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</si>
  <si>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</si>
  <si>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</si>
  <si>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</si>
  <si>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</si>
  <si>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</si>
  <si>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</si>
  <si>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</si>
  <si>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</si>
  <si>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</si>
  <si>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</si>
  <si>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</si>
  <si>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</si>
  <si>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</si>
  <si>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</si>
  <si>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</si>
  <si>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</si>
  <si>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</si>
  <si>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</si>
  <si>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</si>
  <si>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</si>
  <si>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</si>
  <si>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</si>
  <si>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</si>
  <si>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</si>
  <si>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</si>
  <si>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</si>
  <si>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</si>
  <si>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</si>
  <si>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</si>
  <si>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</si>
  <si>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</si>
  <si>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</si>
  <si>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</si>
  <si>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</si>
  <si>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</si>
  <si>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</si>
  <si>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</si>
  <si>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</si>
  <si>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</si>
  <si>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</si>
  <si>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</si>
  <si>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</si>
  <si>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</si>
  <si>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</si>
  <si>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</si>
  <si>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</si>
  <si>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</si>
  <si>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</si>
  <si>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</si>
  <si>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</si>
  <si>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</si>
  <si>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</si>
  <si>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</si>
  <si>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</si>
  <si>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</si>
  <si>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</si>
  <si>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</si>
  <si>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</si>
  <si>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</si>
  <si>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</si>
  <si>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</si>
  <si>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</si>
  <si>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</si>
  <si>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</si>
  <si>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</si>
  <si>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</si>
  <si>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</si>
  <si>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</si>
  <si>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</si>
  <si>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</si>
  <si>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</si>
  <si>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</si>
  <si>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</si>
  <si>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</si>
  <si>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</si>
  <si>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</si>
  <si>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</si>
  <si>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</si>
  <si>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</si>
  <si>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</si>
  <si>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</si>
  <si>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</si>
  <si>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</si>
  <si>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</si>
  <si>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</si>
  <si>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</si>
  <si>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</si>
  <si>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</si>
  <si>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</si>
  <si>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</si>
  <si>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</si>
  <si>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</si>
  <si>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</si>
  <si>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</si>
  <si>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</si>
  <si>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</si>
  <si>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</si>
  <si>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</si>
  <si>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</si>
  <si>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</si>
  <si>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</si>
  <si>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</si>
  <si>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</si>
  <si>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</si>
  <si>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</si>
  <si>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</si>
  <si>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</si>
  <si>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</si>
  <si>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</si>
  <si>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</si>
  <si>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</si>
  <si>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</si>
  <si>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</si>
  <si>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</si>
  <si>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</si>
  <si>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</si>
  <si>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</si>
  <si>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</si>
  <si>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</si>
  <si>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</si>
  <si>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</si>
  <si>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</si>
  <si>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</si>
  <si>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</si>
  <si>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</si>
  <si>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</si>
  <si>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</si>
  <si>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</si>
  <si>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</si>
  <si>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</si>
  <si>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</si>
  <si>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</si>
  <si>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</si>
  <si>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</si>
  <si>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</si>
  <si>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</si>
  <si>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</si>
  <si>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</si>
  <si>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</si>
  <si>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</si>
  <si>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</si>
  <si>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</si>
  <si>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</si>
  <si>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</si>
  <si>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</si>
  <si>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</si>
  <si>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</si>
  <si>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</si>
  <si>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</si>
  <si>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</si>
  <si>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</si>
  <si>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</si>
  <si>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</si>
  <si>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</si>
  <si>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</si>
  <si>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</si>
  <si>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</si>
  <si>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</si>
  <si>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</si>
  <si>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</si>
  <si>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</si>
  <si>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</si>
  <si>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</si>
  <si>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</si>
  <si>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</si>
  <si>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</si>
  <si>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</si>
  <si>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</si>
  <si>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</si>
  <si>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</si>
  <si>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</si>
  <si>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</si>
  <si>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</si>
  <si>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</si>
  <si>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</si>
  <si>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</si>
  <si>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</si>
  <si>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</si>
  <si>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</si>
  <si>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</si>
  <si>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</si>
  <si>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</si>
  <si>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</si>
  <si>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</si>
  <si>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</si>
  <si>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</si>
  <si>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</si>
  <si>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</si>
  <si>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</si>
  <si>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</si>
  <si>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</si>
  <si>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</si>
  <si>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</si>
  <si>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</si>
  <si>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</si>
  <si>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</si>
  <si>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</si>
  <si>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</si>
  <si>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</si>
  <si>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</si>
  <si>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</si>
  <si>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</si>
  <si>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</si>
  <si>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</si>
  <si>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</si>
  <si>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</si>
  <si>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</si>
  <si>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</si>
  <si>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</si>
  <si>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</si>
  <si>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</si>
  <si>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</si>
  <si>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</si>
  <si>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</si>
  <si>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</si>
  <si>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</si>
  <si>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</si>
  <si>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</si>
  <si>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</si>
  <si>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</si>
  <si>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</si>
  <si>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</si>
  <si>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</si>
  <si>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</si>
  <si>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</si>
  <si>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</si>
  <si>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</si>
  <si>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</si>
  <si>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</si>
  <si>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</si>
  <si>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</si>
  <si>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</si>
  <si>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</si>
  <si>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</si>
  <si>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</si>
  <si>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</si>
  <si>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</si>
  <si>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</si>
  <si>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</si>
  <si>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</si>
  <si>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</si>
  <si>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</si>
  <si>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</si>
  <si>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</si>
  <si>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</si>
  <si>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</si>
  <si>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</si>
  <si>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</si>
  <si>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</si>
  <si>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</si>
  <si>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</si>
  <si>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</si>
  <si>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</si>
  <si>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</si>
  <si>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</si>
  <si>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</si>
  <si>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</si>
  <si>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</si>
  <si>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</si>
  <si>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</si>
  <si>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</si>
  <si>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</si>
  <si>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</si>
  <si>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</si>
  <si>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</si>
  <si>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</si>
  <si>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</si>
  <si>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</si>
  <si>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</si>
  <si>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</si>
  <si>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</si>
  <si>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</si>
  <si>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</si>
  <si>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</si>
  <si>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</si>
  <si>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</si>
  <si>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</si>
  <si>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</si>
  <si>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</si>
  <si>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</si>
  <si>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</si>
  <si>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</si>
  <si>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</si>
  <si>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</si>
  <si>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</si>
  <si>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</si>
  <si>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</si>
  <si>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</si>
  <si>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</si>
  <si>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</si>
  <si>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</si>
  <si>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</si>
  <si>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</si>
  <si>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</si>
  <si>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</si>
  <si>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</si>
  <si>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</si>
  <si>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</si>
  <si>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</si>
  <si>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</si>
  <si>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</si>
  <si>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</si>
  <si>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</si>
  <si>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</si>
  <si>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</si>
  <si>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</si>
  <si>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</si>
  <si>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</si>
  <si>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</si>
  <si>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</si>
  <si>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</si>
  <si>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</si>
  <si>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</si>
  <si>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</si>
  <si>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</si>
  <si>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</si>
  <si>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</si>
  <si>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</si>
  <si>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</si>
  <si>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</si>
  <si>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</si>
  <si>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</si>
  <si>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</si>
  <si>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</si>
  <si>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</si>
  <si>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</si>
  <si>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</si>
  <si>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</si>
  <si>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</si>
  <si>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</si>
  <si>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</si>
  <si>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</si>
  <si>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</si>
  <si>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</si>
  <si>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</si>
  <si>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</si>
  <si>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</si>
  <si>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</si>
  <si>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</si>
  <si>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</si>
  <si>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</si>
  <si>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</si>
  <si>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</si>
  <si>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</si>
  <si>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</si>
  <si>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</si>
  <si>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</si>
  <si>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</si>
  <si>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</si>
  <si>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</si>
  <si>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</si>
  <si>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</si>
  <si>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</si>
  <si>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</si>
  <si>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</si>
  <si>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</si>
  <si>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</si>
  <si>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</si>
  <si>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</si>
  <si>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</si>
  <si>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</si>
  <si>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</si>
  <si>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</si>
  <si>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</si>
  <si>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</si>
  <si>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</si>
  <si>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</si>
  <si>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</si>
  <si>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</si>
  <si>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</si>
  <si>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</si>
  <si>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</si>
  <si>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</si>
  <si>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</si>
  <si>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</si>
  <si>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</si>
  <si>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</si>
  <si>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</si>
  <si>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</si>
  <si>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</si>
  <si>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</si>
  <si>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</si>
  <si>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</si>
  <si>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</si>
  <si>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</si>
  <si>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</si>
  <si>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</si>
  <si>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</si>
  <si>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</si>
  <si>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</si>
  <si>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</si>
  <si>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</si>
  <si>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</si>
  <si>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</si>
  <si>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</si>
  <si>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</si>
  <si>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</si>
  <si>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</si>
  <si>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</si>
  <si>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</si>
  <si>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</si>
  <si>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</si>
  <si>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</si>
  <si>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</si>
  <si>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</si>
  <si>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</si>
  <si>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</si>
  <si>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</si>
  <si>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</si>
  <si>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</si>
  <si>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</si>
  <si>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</si>
  <si>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</si>
  <si>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</si>
  <si>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</si>
  <si>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</si>
  <si>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</si>
  <si>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</si>
  <si>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</si>
  <si>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</si>
  <si>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</si>
  <si>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</si>
  <si>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</si>
  <si>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</si>
  <si>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</si>
  <si>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</si>
  <si>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</si>
  <si>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</si>
  <si>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</si>
  <si>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</si>
  <si>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</si>
  <si>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</si>
  <si>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</si>
  <si>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</si>
  <si>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</si>
  <si>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</si>
  <si>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</si>
  <si>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</si>
  <si>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</si>
  <si>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</si>
  <si>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</si>
  <si>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</si>
  <si>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</si>
  <si>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</si>
  <si>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</si>
  <si>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</si>
  <si>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</si>
  <si>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</si>
  <si>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</si>
  <si>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</si>
  <si>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</si>
  <si>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</si>
  <si>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</si>
  <si>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</si>
  <si>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</si>
  <si>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</si>
  <si>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</si>
  <si>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</si>
  <si>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</si>
  <si>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</si>
  <si>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</si>
  <si>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</si>
  <si>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</si>
  <si>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</si>
  <si>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</si>
  <si>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</si>
  <si>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</si>
  <si>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</si>
  <si>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</si>
  <si>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</si>
  <si>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</si>
  <si>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</si>
  <si>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</si>
  <si>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</si>
  <si>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</si>
  <si>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</si>
  <si>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</si>
  <si>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</si>
  <si>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</si>
  <si>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</si>
  <si>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</si>
  <si>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</si>
  <si>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</si>
  <si>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</si>
  <si>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</si>
  <si>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</si>
  <si>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</si>
  <si>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</si>
  <si>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</si>
  <si>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</si>
  <si>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</si>
  <si>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</si>
  <si>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</si>
  <si>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</si>
  <si>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</si>
  <si>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</si>
  <si>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</si>
  <si>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</si>
  <si>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</si>
  <si>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</si>
  <si>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</si>
  <si>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</si>
  <si>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</si>
  <si>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</si>
  <si>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</si>
  <si>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</si>
  <si>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</si>
  <si>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</si>
  <si>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</si>
  <si>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</si>
  <si>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</si>
  <si>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</si>
  <si>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</si>
  <si>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</si>
  <si>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</si>
  <si>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</si>
  <si>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</si>
  <si>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</si>
  <si>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</si>
  <si>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</si>
  <si>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</si>
  <si>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</si>
  <si>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</si>
  <si>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</si>
  <si>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</si>
  <si>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</si>
  <si>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</si>
  <si>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</si>
  <si>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</si>
  <si>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</si>
  <si>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</si>
  <si>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</si>
  <si>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</si>
  <si>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</si>
  <si>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</si>
  <si>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</si>
  <si>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</si>
  <si>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</si>
  <si>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</si>
  <si>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</si>
  <si>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</si>
  <si>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</si>
  <si>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</si>
  <si>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</si>
  <si>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</si>
  <si>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</si>
  <si>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</si>
  <si>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</si>
  <si>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</si>
  <si>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</si>
  <si>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</si>
  <si>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</si>
  <si>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</si>
  <si>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</si>
  <si>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</si>
  <si>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</si>
  <si>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</si>
  <si>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</si>
  <si>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</si>
  <si>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</si>
  <si>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</si>
  <si>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</si>
  <si>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</si>
  <si>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</si>
  <si>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</si>
  <si>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</si>
  <si>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</si>
  <si>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</si>
  <si>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</si>
  <si>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</si>
  <si>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</si>
  <si>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</si>
  <si>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</si>
  <si>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</si>
  <si>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</si>
  <si>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</si>
  <si>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</si>
  <si>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</si>
  <si>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</si>
  <si>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</si>
  <si>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</si>
  <si>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</si>
  <si>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</si>
  <si>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</si>
  <si>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</si>
  <si>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</si>
  <si>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</si>
  <si>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</si>
  <si>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</si>
  <si>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</si>
  <si>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</si>
  <si>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</si>
  <si>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</si>
  <si>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</si>
  <si>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</si>
  <si>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</si>
  <si>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</si>
  <si>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</si>
  <si>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</si>
  <si>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</si>
  <si>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</si>
  <si>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</si>
  <si>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</si>
  <si>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</si>
  <si>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</si>
  <si>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</si>
  <si>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</si>
  <si>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</si>
  <si>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</si>
  <si>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</si>
  <si>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</si>
  <si>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</si>
  <si>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</si>
  <si>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</si>
  <si>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</si>
  <si>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</si>
  <si>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</si>
  <si>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</si>
  <si>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</si>
  <si>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</si>
  <si>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</si>
  <si>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</si>
  <si>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</si>
  <si>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</si>
  <si>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</si>
  <si>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</si>
  <si>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</si>
  <si>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</si>
  <si>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</si>
  <si>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</si>
  <si>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</si>
  <si>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</si>
  <si>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</si>
  <si>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</si>
  <si>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</si>
  <si>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</si>
  <si>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</si>
  <si>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</si>
  <si>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</si>
  <si>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</si>
  <si>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</si>
  <si>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</si>
  <si>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</si>
  <si>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</si>
  <si>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</si>
  <si>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</si>
  <si>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</si>
  <si>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</si>
  <si>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</si>
  <si>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</si>
  <si>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</si>
  <si>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</si>
  <si>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</si>
  <si>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</si>
  <si>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</si>
  <si>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</si>
  <si>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</si>
  <si>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</si>
  <si>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</si>
  <si>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</si>
  <si>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</si>
  <si>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</si>
  <si>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</si>
  <si>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</si>
  <si>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</si>
  <si>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</si>
  <si>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</si>
  <si>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</si>
  <si>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</si>
  <si>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</si>
  <si>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</si>
  <si>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</si>
  <si>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</si>
  <si>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</si>
  <si>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</si>
  <si>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</si>
  <si>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</si>
  <si>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</si>
  <si>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</si>
  <si>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</si>
  <si>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</si>
  <si>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</si>
  <si>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</si>
  <si>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</si>
  <si>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</si>
  <si>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</si>
  <si>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</si>
  <si>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</si>
  <si>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</si>
  <si>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</si>
  <si>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</si>
  <si>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</si>
  <si>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</si>
  <si>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</si>
  <si>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</si>
  <si>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</si>
  <si>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</si>
  <si>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</si>
  <si>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</si>
  <si>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</si>
  <si>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</si>
  <si>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</si>
  <si>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</si>
  <si>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</si>
  <si>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</si>
  <si>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</si>
  <si>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</si>
  <si>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</si>
  <si>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</si>
  <si>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</si>
  <si>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</si>
  <si>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</si>
  <si>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</si>
  <si>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</si>
  <si>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</si>
  <si>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</si>
  <si>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</si>
  <si>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</si>
  <si>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</si>
  <si>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</si>
  <si>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</si>
  <si>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</si>
  <si>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</si>
  <si>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</si>
  <si>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</si>
  <si>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</si>
  <si>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</si>
  <si>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</si>
  <si>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</si>
  <si>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</si>
  <si>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</si>
  <si>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</si>
  <si>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</si>
  <si>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</si>
  <si>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</si>
  <si>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</si>
  <si>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</si>
  <si>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</si>
  <si>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</si>
  <si>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</si>
  <si>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</si>
  <si>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</si>
  <si>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</si>
  <si>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</si>
  <si>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</si>
  <si>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</si>
  <si>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</si>
  <si>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</si>
  <si>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</si>
  <si>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</si>
  <si>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</si>
  <si>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</si>
  <si>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</si>
  <si>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</si>
  <si>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</si>
  <si>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</si>
  <si>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</si>
  <si>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</si>
  <si>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</si>
  <si>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</si>
  <si>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</si>
  <si>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</si>
  <si>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</si>
  <si>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</si>
  <si>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</si>
  <si>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</si>
  <si>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</si>
  <si>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</si>
  <si>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</si>
  <si>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</si>
  <si>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</si>
  <si>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</si>
  <si>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</si>
  <si>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</si>
  <si>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</si>
  <si>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</si>
  <si>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</si>
  <si>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</si>
  <si>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</si>
  <si>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</si>
  <si>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</si>
  <si>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</si>
  <si>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</si>
  <si>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</si>
  <si>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</si>
  <si>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</si>
  <si>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</si>
  <si>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</si>
  <si>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</si>
  <si>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</si>
  <si>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</si>
  <si>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</si>
  <si>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</si>
  <si>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</si>
  <si>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</si>
  <si>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</si>
  <si>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</si>
  <si>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</si>
  <si>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</si>
  <si>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</si>
  <si>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</si>
  <si>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</si>
  <si>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</si>
  <si>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</si>
  <si>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</si>
  <si>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</si>
  <si>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</si>
  <si>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</si>
  <si>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</si>
  <si>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</si>
  <si>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</si>
  <si>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</si>
  <si>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</si>
  <si>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</si>
  <si>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</si>
  <si>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</si>
  <si>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</si>
  <si>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</si>
  <si>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</si>
  <si>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</si>
  <si>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</si>
  <si>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</si>
  <si>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</si>
  <si>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</si>
  <si>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</si>
  <si>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</si>
  <si>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</si>
  <si>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</si>
  <si>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</si>
  <si>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</si>
  <si>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</si>
  <si>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</si>
  <si>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</si>
  <si>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</si>
  <si>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</si>
  <si>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</si>
  <si>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</si>
  <si>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</si>
  <si>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</si>
  <si>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</si>
  <si>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</si>
  <si>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</si>
  <si>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</si>
  <si>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</si>
  <si>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</si>
  <si>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</si>
  <si>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</si>
  <si>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</si>
  <si>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</si>
  <si>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</si>
  <si>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</si>
  <si>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</si>
  <si>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</si>
  <si>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</si>
  <si>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</si>
  <si>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</si>
  <si>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</si>
  <si>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</si>
  <si>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</si>
  <si>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</si>
  <si>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</si>
  <si>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</si>
  <si>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</si>
  <si>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</si>
  <si>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</si>
  <si>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</si>
  <si>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</si>
  <si>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</si>
  <si>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</si>
  <si>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</si>
  <si>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</si>
  <si>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</si>
  <si>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</si>
  <si>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</si>
  <si>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</si>
  <si>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</si>
  <si>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</si>
  <si>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</si>
  <si>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</si>
  <si>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</si>
  <si>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</si>
  <si>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</si>
  <si>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</si>
  <si>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</si>
  <si>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</si>
  <si>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</si>
  <si>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</si>
  <si>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</si>
  <si>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</si>
  <si>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</si>
  <si>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</si>
  <si>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</si>
  <si>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</si>
  <si>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</si>
  <si>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</si>
  <si>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</si>
  <si>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</si>
  <si>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</si>
  <si>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</si>
  <si>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</si>
  <si>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</si>
  <si>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</si>
  <si>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</si>
  <si>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</si>
  <si>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</si>
  <si>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</si>
  <si>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</si>
  <si>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</si>
  <si>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</si>
  <si>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</si>
  <si>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</si>
  <si>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</si>
  <si>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</si>
  <si>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</si>
  <si>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</si>
  <si>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</si>
  <si>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</si>
  <si>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</si>
  <si>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</si>
  <si>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</si>
  <si>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</si>
  <si>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</si>
  <si>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</si>
  <si>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</si>
  <si>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</si>
  <si>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</si>
  <si>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</si>
  <si>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</si>
  <si>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</si>
  <si>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</si>
  <si>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</si>
  <si>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</si>
  <si>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</si>
  <si>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</si>
  <si>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</si>
  <si>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</si>
  <si>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</si>
  <si>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</si>
  <si>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</si>
  <si>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</si>
  <si>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</si>
  <si>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</si>
  <si>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</si>
  <si>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</si>
  <si>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</si>
  <si>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</si>
  <si>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</si>
  <si>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</si>
  <si>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</si>
  <si>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</si>
  <si>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</si>
  <si>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</si>
  <si>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</si>
  <si>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</si>
  <si>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</si>
  <si>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</si>
  <si>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</si>
  <si>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</si>
  <si>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</si>
  <si>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</si>
  <si>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</si>
  <si>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</si>
  <si>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</si>
  <si>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</si>
  <si>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</si>
  <si>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</si>
  <si>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</si>
  <si>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</si>
  <si>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</si>
  <si>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</si>
  <si>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</si>
  <si>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</si>
  <si>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</si>
  <si>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</si>
  <si>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</si>
  <si>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</si>
  <si>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</si>
  <si>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</si>
  <si>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</si>
  <si>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</si>
  <si>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</si>
  <si>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</si>
  <si>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</si>
  <si>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</si>
  <si>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</si>
  <si>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</si>
  <si>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</si>
  <si>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</si>
  <si>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</si>
  <si>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</si>
  <si>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</si>
  <si>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</si>
  <si>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</si>
  <si>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</si>
  <si>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</si>
  <si>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</si>
  <si>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</si>
  <si>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</si>
  <si>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</si>
  <si>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</si>
  <si>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</si>
  <si>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</si>
  <si>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</si>
  <si>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</si>
  <si>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</si>
  <si>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</si>
  <si>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</si>
  <si>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</si>
  <si>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</si>
  <si>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</si>
  <si>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</si>
  <si>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</si>
  <si>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</si>
  <si>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</si>
  <si>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</si>
  <si>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</si>
  <si>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</si>
  <si>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</si>
  <si>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</si>
  <si>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</si>
  <si>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</si>
  <si>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</si>
  <si>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</si>
  <si>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</si>
  <si>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</si>
  <si>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</si>
  <si>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</si>
  <si>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</si>
  <si>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</si>
  <si>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</si>
  <si>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</si>
  <si>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</si>
  <si>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</si>
  <si>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</si>
  <si>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</si>
  <si>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</si>
  <si>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</si>
  <si>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</si>
  <si>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</si>
  <si>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</si>
  <si>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</si>
  <si>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</si>
  <si>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</si>
  <si>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</si>
  <si>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</si>
  <si>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</si>
  <si>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</si>
  <si>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</si>
  <si>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</si>
  <si>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</si>
  <si>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</si>
  <si>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</si>
  <si>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</si>
  <si>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</si>
  <si>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</si>
  <si>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</si>
  <si>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</si>
  <si>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</si>
  <si>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</si>
  <si>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</si>
  <si>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</si>
  <si>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</si>
  <si>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</si>
  <si>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</si>
  <si>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</si>
  <si>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</si>
  <si>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</si>
  <si>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</si>
  <si>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</si>
  <si>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</si>
  <si>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</si>
  <si>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</si>
  <si>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</si>
  <si>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</si>
  <si>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</si>
  <si>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</si>
  <si>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</si>
  <si>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</si>
  <si>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</si>
  <si>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</si>
  <si>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</si>
  <si>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</si>
  <si>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</si>
  <si>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</si>
  <si>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</si>
  <si>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</si>
  <si>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</si>
  <si>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</si>
  <si>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</si>
  <si>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</si>
  <si>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</si>
  <si>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</si>
  <si>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</si>
  <si>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</si>
  <si>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</si>
  <si>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</si>
  <si>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</si>
  <si>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</si>
  <si>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</si>
  <si>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</si>
  <si>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</si>
  <si>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</si>
  <si>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</si>
  <si>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</si>
  <si>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</si>
  <si>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</si>
  <si>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</si>
  <si>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</si>
  <si>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</si>
  <si>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</si>
  <si>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</si>
  <si>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</si>
  <si>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</si>
  <si>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</si>
  <si>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</si>
  <si>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</si>
  <si>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</si>
  <si>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</si>
  <si>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</si>
  <si>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</si>
  <si>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</si>
  <si>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</si>
  <si>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</si>
  <si>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</si>
  <si>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</si>
  <si>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</si>
  <si>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</si>
  <si>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</si>
  <si>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</si>
  <si>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</si>
  <si>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</si>
  <si>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</si>
  <si>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</si>
  <si>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</si>
  <si>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</si>
  <si>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</si>
  <si>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</si>
  <si>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</si>
  <si>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</si>
  <si>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</si>
  <si>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</si>
  <si>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</si>
  <si>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</si>
  <si>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</si>
  <si>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</si>
  <si>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</si>
  <si>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</si>
  <si>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</si>
  <si>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</si>
  <si>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</si>
  <si>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</si>
  <si>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</si>
  <si>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</si>
  <si>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</si>
  <si>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</si>
  <si>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</si>
  <si>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</si>
  <si>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</si>
  <si>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</si>
  <si>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</si>
  <si>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</si>
  <si>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</si>
  <si>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</si>
  <si>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</si>
  <si>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</si>
  <si>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</si>
  <si>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</si>
  <si>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</si>
  <si>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</si>
  <si>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</si>
  <si>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</si>
  <si>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</si>
  <si>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</si>
  <si>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</si>
  <si>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</si>
  <si>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</si>
  <si>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</si>
  <si>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</si>
  <si>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</si>
  <si>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</si>
  <si>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</si>
  <si>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</si>
  <si>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</si>
  <si>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</si>
  <si>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</si>
  <si>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</si>
  <si>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</si>
  <si>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</si>
  <si>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</si>
  <si>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</si>
  <si>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</si>
  <si>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</si>
  <si>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</si>
  <si>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</si>
  <si>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</si>
  <si>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</si>
  <si>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</si>
  <si>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</si>
  <si>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</si>
  <si>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</si>
  <si>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</si>
  <si>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</si>
  <si>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</si>
  <si>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</si>
  <si>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</si>
  <si>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</si>
  <si>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</si>
  <si>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</si>
  <si>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</si>
  <si>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</si>
  <si>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</si>
  <si>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</si>
  <si>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</si>
  <si>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</si>
  <si>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</si>
  <si>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</si>
  <si>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</si>
  <si>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</si>
  <si>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</si>
  <si>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</si>
  <si>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</si>
  <si>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</si>
  <si>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</si>
  <si>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</si>
  <si>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</si>
  <si>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</si>
  <si>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</si>
  <si>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</si>
  <si>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</si>
  <si>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</si>
  <si>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</si>
  <si>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</si>
  <si>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</si>
  <si>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</si>
  <si>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</si>
  <si>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</si>
  <si>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</si>
  <si>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</si>
  <si>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</si>
  <si>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</si>
  <si>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</si>
  <si>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</si>
  <si>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</si>
  <si>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</si>
  <si>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</si>
  <si>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</si>
  <si>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</si>
  <si>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</si>
  <si>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</si>
  <si>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</si>
  <si>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</si>
  <si>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</si>
  <si>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</si>
  <si>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</si>
  <si>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</si>
  <si>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</si>
  <si>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</si>
  <si>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</si>
  <si>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</si>
  <si>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</si>
  <si>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</si>
  <si>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</si>
  <si>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</si>
  <si>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</si>
  <si>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</si>
  <si>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</si>
  <si>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</si>
  <si>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</si>
  <si>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</si>
  <si>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</si>
  <si>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</si>
  <si>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</si>
  <si>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</si>
  <si>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</si>
  <si>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</si>
  <si>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</si>
  <si>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</si>
  <si>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</si>
  <si>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</si>
  <si>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</si>
  <si>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</si>
  <si>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</si>
  <si>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</si>
  <si>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</si>
  <si>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</si>
  <si>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</si>
  <si>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</si>
  <si>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</si>
  <si>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</si>
  <si>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</si>
  <si>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</si>
  <si>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</si>
  <si>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</si>
  <si>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</si>
  <si>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</si>
  <si>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</si>
  <si>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</si>
  <si>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</si>
  <si>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</si>
  <si>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</si>
  <si>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</si>
  <si>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</si>
  <si>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</si>
  <si>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</si>
  <si>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</si>
  <si>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</si>
  <si>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</si>
  <si>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</si>
  <si>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</si>
  <si>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</si>
  <si>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</si>
  <si>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</si>
  <si>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</si>
  <si>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</si>
  <si>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</si>
  <si>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</si>
  <si>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</si>
  <si>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</si>
  <si>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</si>
  <si>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</si>
  <si>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</si>
  <si>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</si>
  <si>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</si>
  <si>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</si>
  <si>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</si>
  <si>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</si>
  <si>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</si>
  <si>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</si>
  <si>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</si>
  <si>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</si>
  <si>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</si>
  <si>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</si>
  <si>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</si>
  <si>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</si>
  <si>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</si>
  <si>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</si>
  <si>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</si>
  <si>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</si>
  <si>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</si>
  <si>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</si>
  <si>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</si>
  <si>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</si>
  <si>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</si>
  <si>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</si>
  <si>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</si>
  <si>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</si>
  <si>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</si>
  <si>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</si>
  <si>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</si>
  <si>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</si>
  <si>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</si>
  <si>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</si>
  <si>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</si>
  <si>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</si>
  <si>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</si>
  <si>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</si>
  <si>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</si>
  <si>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</si>
  <si>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</si>
  <si>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</si>
  <si>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</si>
  <si>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</si>
  <si>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</si>
  <si>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</si>
  <si>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</si>
  <si>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</si>
  <si>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</si>
  <si>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</si>
  <si>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</si>
  <si>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</si>
  <si>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</si>
  <si>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</si>
  <si>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</si>
  <si>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</si>
  <si>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</si>
  <si>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</si>
  <si>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</si>
  <si>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</si>
  <si>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</si>
  <si>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</si>
  <si>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</si>
  <si>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</si>
  <si>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</si>
  <si>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</si>
  <si>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</si>
  <si>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</si>
  <si>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</si>
  <si>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</si>
  <si>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</si>
  <si>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</si>
  <si>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</si>
  <si>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</si>
  <si>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</si>
  <si>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</si>
  <si>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</si>
  <si>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</si>
  <si>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</si>
  <si>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</si>
  <si>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</si>
  <si>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</si>
  <si>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</si>
  <si>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</si>
  <si>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</si>
  <si>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</si>
  <si>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</si>
  <si>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</si>
  <si>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</si>
  <si>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</si>
  <si>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</si>
  <si>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</si>
  <si>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</si>
  <si>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</si>
  <si>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</si>
  <si>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</si>
  <si>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</si>
  <si>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</si>
  <si>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</si>
  <si>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</si>
  <si>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</si>
  <si>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</si>
  <si>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</si>
  <si>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</si>
  <si>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</si>
  <si>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</si>
  <si>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</si>
  <si>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</si>
  <si>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</si>
  <si>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</si>
  <si>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</si>
  <si>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</si>
  <si>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</si>
  <si>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</si>
  <si>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</si>
  <si>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</si>
  <si>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</si>
  <si>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</si>
  <si>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</si>
  <si>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</si>
  <si>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</si>
  <si>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</si>
  <si>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</si>
  <si>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</si>
  <si>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</si>
  <si>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</si>
  <si>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</si>
  <si>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</si>
  <si>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</si>
  <si>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</si>
  <si>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</si>
  <si>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</si>
  <si>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</si>
  <si>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</si>
  <si>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</si>
  <si>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</si>
  <si>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</si>
  <si>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</si>
  <si>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</si>
  <si>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</si>
  <si>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</si>
  <si>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</si>
  <si>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</si>
  <si>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</si>
  <si>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</si>
  <si>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</si>
  <si>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</si>
  <si>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</si>
  <si>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</si>
  <si>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</si>
  <si>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</si>
  <si>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</si>
  <si>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</si>
  <si>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</si>
  <si>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</si>
  <si>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</si>
  <si>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</si>
  <si>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</si>
  <si>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</si>
  <si>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</si>
  <si>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</si>
  <si>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</si>
  <si>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</si>
  <si>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</si>
  <si>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</si>
  <si>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</si>
  <si>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</si>
  <si>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</si>
  <si>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</si>
  <si>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</si>
  <si>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</si>
  <si>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</si>
  <si>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</si>
  <si>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</si>
  <si>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</si>
  <si>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</si>
  <si>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</si>
  <si>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</si>
  <si>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</si>
  <si>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</si>
  <si>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</si>
  <si>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</si>
  <si>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</si>
  <si>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</si>
  <si>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</si>
  <si>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</si>
  <si>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</si>
  <si>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</si>
  <si>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</si>
  <si>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</si>
  <si>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</si>
  <si>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</si>
  <si>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</si>
  <si>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</si>
  <si>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</si>
  <si>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</si>
  <si>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</si>
  <si>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</si>
  <si>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</si>
  <si>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</si>
  <si>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</si>
  <si>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</si>
  <si>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</si>
  <si>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</si>
  <si>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</si>
  <si>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</si>
  <si>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</si>
  <si>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</si>
  <si>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</si>
  <si>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</si>
  <si>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</si>
  <si>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</si>
  <si>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</si>
  <si>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</si>
  <si>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</si>
  <si>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</si>
  <si>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</si>
  <si>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</si>
  <si>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</si>
  <si>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</si>
  <si>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</si>
  <si>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</si>
  <si>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</si>
  <si>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</si>
  <si>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</si>
  <si>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</si>
  <si>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</si>
  <si>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</si>
  <si>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</si>
  <si>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</si>
  <si>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</si>
  <si>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</si>
  <si>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</si>
  <si>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</si>
  <si>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</si>
  <si>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</si>
  <si>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</si>
  <si>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</si>
  <si>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</si>
  <si>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</si>
  <si>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</si>
  <si>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</si>
  <si>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</si>
  <si>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</si>
  <si>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</si>
  <si>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</si>
  <si>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</si>
  <si>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</si>
  <si>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</si>
  <si>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</si>
  <si>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</si>
  <si>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</si>
  <si>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</si>
  <si>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</si>
  <si>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</si>
  <si>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</si>
  <si>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</si>
  <si>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</si>
  <si>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</si>
  <si>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</si>
  <si>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</si>
  <si>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</si>
  <si>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</si>
  <si>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</si>
  <si>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</si>
  <si>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</si>
  <si>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</si>
  <si>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</si>
  <si>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</si>
  <si>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</si>
  <si>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</si>
  <si>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</si>
  <si>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</si>
  <si>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</si>
  <si>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</si>
  <si>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</si>
  <si>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</si>
  <si>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</si>
  <si>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</si>
  <si>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</si>
  <si>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</si>
  <si>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</si>
  <si>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</si>
  <si>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</si>
  <si>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</si>
  <si>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</si>
  <si>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</si>
  <si>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</si>
  <si>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</si>
  <si>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</si>
  <si>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</si>
  <si>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</si>
  <si>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</si>
  <si>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</si>
  <si>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</si>
  <si>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</si>
  <si>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</si>
  <si>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</si>
  <si>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</si>
  <si>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</si>
  <si>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</si>
  <si>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</si>
  <si>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</si>
  <si>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</si>
  <si>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</si>
  <si>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</si>
  <si>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</si>
  <si>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</si>
  <si>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</si>
  <si>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</si>
  <si>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</si>
  <si>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</si>
  <si>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</si>
  <si>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</si>
  <si>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</si>
  <si>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</si>
  <si>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</si>
  <si>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</si>
  <si>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</si>
  <si>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</si>
  <si>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</si>
  <si>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</si>
  <si>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</si>
  <si>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</si>
  <si>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</si>
  <si>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</si>
  <si>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</si>
  <si>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</si>
  <si>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</si>
  <si>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</si>
  <si>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</si>
  <si>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</si>
  <si>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</si>
  <si>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</si>
  <si>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</si>
  <si>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</si>
  <si>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</si>
  <si>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</si>
  <si>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</si>
  <si>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</si>
  <si>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</si>
  <si>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</si>
  <si>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</si>
  <si>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</si>
  <si>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</si>
  <si>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</si>
  <si>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</si>
  <si>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</si>
  <si>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</si>
  <si>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</si>
  <si>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</si>
  <si>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</si>
  <si>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</si>
  <si>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</si>
  <si>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</si>
  <si>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</si>
  <si>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</si>
  <si>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</si>
  <si>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</si>
  <si>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</si>
  <si>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</si>
  <si>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</si>
  <si>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</si>
  <si>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</si>
  <si>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</si>
  <si>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</si>
  <si>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</si>
  <si>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</si>
  <si>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</si>
  <si>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</si>
  <si>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</si>
  <si>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</si>
  <si>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</si>
  <si>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</si>
  <si>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</si>
  <si>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</si>
  <si>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</si>
  <si>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</si>
  <si>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</si>
  <si>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</si>
  <si>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</si>
  <si>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</si>
  <si>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</si>
  <si>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</si>
  <si>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</si>
  <si>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</si>
  <si>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</si>
  <si>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</si>
  <si>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</si>
  <si>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</si>
  <si>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</si>
  <si>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</si>
  <si>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</si>
  <si>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</si>
  <si>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</si>
  <si>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</si>
  <si>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</si>
  <si>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</si>
  <si>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</si>
  <si>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</si>
  <si>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</si>
  <si>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</si>
  <si>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</si>
  <si>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</si>
  <si>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</si>
  <si>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</si>
  <si>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</si>
  <si>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</si>
  <si>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</si>
  <si>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</si>
  <si>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</si>
  <si>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</si>
  <si>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</si>
  <si>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</si>
  <si>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</si>
  <si>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</si>
  <si>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</si>
  <si>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</si>
  <si>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</si>
  <si>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</si>
  <si>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</si>
  <si>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</si>
  <si>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</si>
  <si>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</si>
  <si>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</si>
  <si>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</si>
  <si>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</si>
  <si>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</si>
  <si>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</si>
  <si>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</si>
  <si>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</si>
  <si>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</si>
  <si>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</si>
  <si>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</si>
  <si>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</si>
  <si>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</si>
  <si>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</si>
  <si>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</si>
  <si>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</si>
  <si>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</si>
  <si>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</si>
  <si>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</si>
  <si>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</si>
  <si>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</si>
  <si>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</si>
  <si>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</si>
  <si>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</si>
  <si>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</si>
  <si>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</si>
  <si>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</si>
  <si>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</si>
  <si>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</si>
  <si>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</si>
  <si>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</si>
  <si>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</si>
  <si>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</si>
  <si>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</si>
  <si>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</si>
  <si>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</si>
  <si>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</si>
  <si>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</si>
  <si>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</si>
  <si>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</si>
  <si>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</si>
  <si>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</si>
  <si>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</si>
  <si>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</si>
  <si>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</si>
  <si>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</si>
  <si>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</si>
  <si>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</si>
  <si>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</si>
  <si>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</si>
  <si>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</si>
  <si>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</si>
  <si>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</si>
  <si>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</si>
  <si>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</si>
  <si>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</si>
  <si>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</si>
  <si>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</si>
  <si>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</si>
  <si>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</si>
  <si>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</si>
  <si>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</si>
  <si>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</si>
  <si>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</si>
  <si>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</si>
  <si>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</si>
  <si>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</si>
  <si>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</si>
  <si>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</si>
  <si>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</si>
  <si>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</si>
  <si>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</si>
  <si>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</si>
  <si>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</si>
  <si>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</si>
  <si>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</si>
  <si>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</si>
  <si>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</si>
  <si>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</si>
  <si>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</si>
  <si>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</si>
  <si>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</si>
  <si>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</si>
  <si>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</si>
  <si>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</si>
  <si>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</si>
  <si>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</si>
  <si>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</si>
  <si>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</si>
  <si>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</si>
  <si>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</si>
  <si>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</si>
  <si>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</si>
  <si>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</si>
  <si>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</si>
  <si>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</si>
  <si>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</si>
  <si>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</si>
  <si>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</si>
  <si>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</si>
  <si>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</si>
  <si>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</si>
  <si>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</si>
  <si>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</si>
  <si>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</si>
  <si>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</si>
  <si>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</si>
  <si>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</si>
  <si>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</si>
  <si>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</si>
  <si>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</si>
  <si>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</si>
  <si>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</si>
  <si>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</si>
  <si>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</si>
  <si>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</si>
  <si>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</si>
  <si>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</si>
  <si>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</si>
  <si>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</si>
  <si>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</si>
  <si>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</si>
  <si>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</si>
  <si>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</si>
  <si>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</si>
  <si>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</si>
  <si>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</si>
  <si>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</si>
  <si>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</si>
  <si>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</si>
  <si>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</si>
  <si>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</si>
  <si>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</si>
  <si>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</si>
  <si>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</si>
  <si>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</si>
  <si>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</si>
  <si>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</si>
  <si>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</si>
  <si>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</si>
  <si>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</si>
  <si>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</si>
  <si>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</si>
  <si>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</si>
  <si>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</si>
  <si>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</si>
  <si>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</si>
  <si>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</si>
  <si>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</si>
  <si>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</si>
  <si>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</si>
  <si>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</si>
  <si>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</si>
  <si>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</si>
  <si>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</si>
  <si>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</si>
  <si>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</si>
  <si>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</si>
  <si>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</si>
  <si>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</si>
  <si>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</si>
  <si>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</si>
  <si>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</si>
  <si>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</si>
  <si>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</si>
  <si>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</si>
  <si>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</si>
  <si>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</si>
  <si>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</si>
  <si>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</si>
  <si>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</si>
  <si>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</si>
  <si>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</si>
  <si>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</si>
  <si>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</si>
  <si>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</si>
  <si>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</si>
  <si>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</si>
  <si>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</si>
  <si>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</si>
  <si>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</si>
  <si>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</si>
  <si>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</si>
  <si>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</si>
  <si>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</si>
  <si>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</si>
  <si>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</si>
  <si>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</si>
  <si>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</si>
  <si>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</si>
  <si>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</si>
  <si>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</si>
  <si>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</si>
  <si>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</si>
  <si>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</si>
  <si>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</si>
  <si>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</si>
  <si>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</si>
  <si>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</si>
  <si>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</si>
  <si>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</si>
  <si>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</si>
  <si>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</si>
  <si>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</si>
  <si>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</si>
  <si>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</si>
  <si>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</si>
  <si>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</si>
  <si>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</si>
  <si>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</si>
  <si>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</si>
  <si>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</si>
  <si>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</si>
  <si>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</si>
  <si>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</si>
  <si>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</si>
  <si>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</si>
  <si>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</si>
  <si>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</si>
  <si>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</si>
  <si>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</si>
  <si>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</si>
  <si>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</si>
  <si>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</si>
  <si>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</si>
  <si>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</si>
  <si>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</si>
  <si>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</si>
  <si>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</si>
  <si>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</si>
  <si>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</si>
  <si>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</si>
  <si>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</si>
  <si>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</si>
  <si>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</si>
  <si>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</si>
  <si>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</si>
  <si>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</si>
  <si>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</si>
  <si>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</si>
  <si>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</si>
  <si>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</si>
  <si>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</si>
  <si>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</si>
  <si>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</si>
  <si>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</si>
  <si>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</si>
  <si>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</si>
  <si>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</si>
  <si>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</si>
  <si>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</si>
  <si>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</si>
  <si>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</si>
  <si>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</si>
  <si>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</si>
  <si>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</si>
  <si>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</si>
  <si>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</si>
  <si>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</si>
  <si>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</si>
  <si>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</si>
  <si>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</si>
  <si>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</si>
  <si>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</si>
  <si>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</si>
  <si>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</si>
  <si>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</si>
  <si>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</si>
  <si>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</si>
  <si>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</si>
  <si>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</si>
  <si>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</si>
  <si>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</si>
  <si>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</si>
  <si>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</si>
  <si>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</si>
  <si>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</si>
  <si>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</si>
  <si>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</si>
  <si>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</si>
  <si>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</si>
  <si>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</si>
  <si>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</si>
  <si>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</si>
  <si>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</si>
  <si>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</si>
  <si>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</si>
  <si>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</si>
  <si>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</si>
  <si>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</si>
  <si>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</si>
  <si>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</si>
  <si>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</si>
  <si>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</si>
  <si>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</si>
  <si>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</si>
  <si>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</si>
  <si>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</si>
  <si>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</si>
  <si>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</si>
  <si>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</si>
  <si>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</si>
  <si>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</si>
  <si>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</si>
  <si>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</si>
  <si>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</si>
  <si>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</si>
  <si>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</si>
  <si>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</si>
  <si>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</si>
  <si>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</si>
  <si>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</si>
  <si>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</si>
  <si>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</si>
  <si>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</si>
  <si>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</si>
  <si>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</si>
  <si>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</si>
  <si>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</si>
  <si>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</si>
  <si>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</si>
  <si>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</si>
  <si>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</si>
  <si>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</si>
  <si>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</si>
  <si>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</si>
  <si>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</si>
  <si>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</si>
  <si>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</si>
  <si>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</si>
  <si>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</si>
  <si>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</si>
  <si>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</si>
  <si>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</si>
  <si>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</si>
  <si>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</si>
  <si>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</si>
  <si>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</si>
  <si>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</si>
  <si>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</si>
  <si>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</si>
  <si>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</si>
  <si>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</si>
  <si>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</si>
  <si>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</si>
  <si>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</si>
  <si>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</si>
  <si>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</si>
  <si>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</si>
  <si>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</si>
  <si>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</si>
  <si>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</si>
  <si>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</si>
  <si>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</si>
  <si>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</si>
  <si>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</si>
  <si>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</si>
  <si>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</si>
  <si>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</si>
  <si>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</si>
  <si>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</si>
  <si>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</si>
  <si>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</si>
  <si>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</si>
  <si>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</si>
  <si>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</si>
  <si>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</si>
  <si>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</si>
  <si>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</si>
  <si>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</si>
  <si>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</si>
  <si>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</si>
  <si>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</si>
  <si>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</si>
  <si>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</si>
  <si>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</si>
  <si>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</si>
  <si>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</si>
  <si>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</si>
  <si>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</si>
  <si>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</si>
  <si>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</si>
  <si>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</si>
  <si>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</si>
  <si>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</si>
  <si>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</si>
  <si>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</si>
  <si>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</si>
  <si>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</si>
  <si>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</si>
  <si>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</si>
  <si>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</si>
  <si>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</si>
  <si>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</si>
  <si>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</si>
  <si>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</si>
  <si>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</si>
  <si>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</si>
  <si>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</si>
  <si>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</si>
  <si>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</si>
  <si>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</si>
  <si>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</si>
  <si>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</si>
  <si>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</si>
  <si>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</si>
  <si>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</si>
  <si>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</si>
  <si>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</si>
  <si>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</si>
  <si>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</si>
  <si>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</si>
  <si>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</si>
  <si>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</si>
  <si>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</si>
  <si>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</si>
  <si>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</si>
  <si>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</si>
  <si>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</si>
  <si>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</si>
  <si>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</si>
  <si>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</si>
  <si>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</si>
  <si>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</si>
  <si>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</si>
  <si>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</si>
  <si>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</si>
  <si>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</si>
  <si>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</si>
  <si>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</si>
  <si>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</si>
  <si>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</si>
  <si>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</si>
  <si>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</si>
  <si>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</si>
  <si>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</si>
  <si>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</si>
  <si>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</si>
  <si>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</si>
  <si>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</si>
  <si>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</si>
  <si>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</si>
  <si>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</si>
  <si>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</si>
  <si>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</si>
  <si>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</si>
  <si>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</si>
  <si>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</si>
  <si>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</si>
  <si>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</si>
  <si>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</si>
  <si>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</si>
  <si>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</si>
  <si>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</si>
  <si>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</si>
  <si>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</si>
  <si>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</si>
  <si>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</si>
  <si>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</si>
  <si>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</si>
  <si>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</si>
  <si>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</si>
  <si>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</si>
  <si>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</si>
  <si>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</si>
  <si>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</si>
  <si>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</si>
  <si>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</si>
  <si>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</si>
  <si>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</si>
  <si>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</si>
  <si>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</si>
  <si>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</si>
  <si>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</si>
  <si>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</si>
  <si>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</si>
  <si>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</si>
  <si>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</si>
  <si>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</si>
  <si>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</si>
  <si>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</si>
  <si>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</si>
  <si>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</si>
  <si>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</si>
  <si>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</si>
  <si>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</si>
  <si>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</si>
  <si>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</si>
  <si>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</si>
  <si>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</si>
  <si>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</si>
  <si>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</si>
  <si>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</si>
  <si>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</si>
  <si>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</si>
  <si>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</si>
  <si>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</si>
  <si>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</si>
  <si>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</si>
  <si>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</si>
  <si>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</si>
  <si>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</si>
  <si>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</si>
  <si>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</si>
  <si>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</si>
  <si>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</si>
  <si>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</si>
  <si>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</si>
  <si>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</si>
  <si>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</si>
  <si>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</si>
  <si>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</si>
  <si>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</si>
  <si>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</si>
  <si>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</si>
  <si>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</si>
  <si>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</si>
  <si>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</si>
  <si>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</si>
  <si>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</si>
  <si>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</si>
  <si>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</si>
  <si>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</si>
  <si>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</si>
  <si>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</si>
  <si>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</si>
  <si>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</si>
  <si>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</si>
  <si>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</si>
  <si>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</si>
  <si>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</si>
  <si>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</si>
  <si>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</si>
  <si>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</si>
  <si>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</si>
  <si>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</si>
  <si>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</si>
  <si>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</si>
  <si>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</si>
  <si>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</si>
  <si>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</si>
  <si>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</si>
  <si>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</si>
  <si>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</si>
  <si>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</si>
  <si>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</si>
  <si>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</si>
  <si>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</si>
  <si>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</si>
  <si>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</si>
  <si>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</si>
  <si>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</si>
  <si>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</si>
  <si>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</si>
  <si>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</si>
  <si>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</si>
  <si>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</si>
  <si>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</si>
  <si>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</si>
  <si>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</si>
  <si>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</si>
  <si>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</si>
  <si>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</si>
  <si>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</si>
  <si>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</si>
  <si>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</si>
  <si>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</si>
  <si>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</si>
  <si>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</si>
  <si>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</si>
  <si>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</si>
  <si>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</si>
  <si>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</si>
  <si>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</si>
  <si>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</si>
  <si>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</si>
  <si>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</si>
  <si>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</si>
  <si>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</si>
  <si>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</si>
  <si>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</si>
  <si>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</si>
  <si>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</si>
  <si>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</si>
  <si>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</si>
  <si>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</si>
  <si>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</si>
  <si>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</si>
  <si>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</si>
  <si>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</si>
  <si>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</si>
  <si>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</si>
  <si>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</si>
  <si>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</si>
  <si>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</si>
  <si>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</si>
  <si>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</si>
  <si>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</si>
  <si>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</si>
  <si>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</si>
  <si>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</si>
  <si>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</si>
  <si>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</si>
  <si>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</si>
  <si>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</si>
  <si>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</si>
  <si>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</si>
  <si>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</si>
  <si>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</si>
  <si>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</si>
  <si>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</si>
  <si>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</si>
  <si>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</si>
  <si>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</si>
  <si>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</si>
  <si>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</si>
  <si>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</si>
  <si>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</si>
  <si>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</si>
  <si>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</si>
  <si>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</si>
  <si>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</si>
  <si>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</si>
  <si>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</si>
  <si>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</si>
  <si>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</si>
  <si>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</si>
  <si>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</si>
  <si>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</si>
  <si>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</si>
  <si>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</si>
  <si>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</si>
  <si>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</si>
  <si>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</si>
  <si>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</si>
  <si>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</si>
  <si>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</si>
  <si>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</si>
  <si>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</si>
  <si>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</si>
  <si>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</si>
  <si>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</si>
  <si>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</si>
  <si>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</si>
  <si>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</si>
  <si>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</si>
  <si>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</si>
  <si>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</si>
  <si>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</si>
  <si>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</si>
  <si>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</si>
  <si>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</si>
  <si>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</si>
  <si>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</si>
  <si>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</si>
  <si>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</si>
  <si>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</si>
  <si>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</si>
  <si>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</si>
  <si>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</si>
  <si>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</si>
  <si>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</si>
  <si>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</si>
  <si>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</si>
  <si>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</si>
  <si>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</si>
  <si>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</si>
  <si>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</si>
  <si>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</si>
  <si>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</si>
  <si>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</si>
  <si>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</si>
  <si>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</si>
  <si>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</si>
  <si>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</si>
  <si>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</si>
  <si>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</si>
  <si>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</si>
  <si>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</si>
  <si>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</si>
  <si>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</si>
  <si>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</si>
  <si>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</si>
  <si>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</si>
  <si>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</si>
  <si>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</si>
  <si>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</si>
  <si>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</si>
  <si>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</si>
  <si>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</si>
  <si>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</si>
  <si>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</si>
  <si>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</si>
  <si>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</si>
  <si>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</si>
  <si>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</si>
  <si>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</si>
  <si>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</si>
  <si>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</si>
  <si>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</si>
  <si>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</si>
  <si>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</si>
  <si>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</si>
  <si>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</si>
  <si>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</si>
  <si>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</si>
  <si>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</si>
  <si>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</si>
  <si>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</si>
  <si>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</si>
  <si>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</si>
  <si>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</si>
  <si>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</si>
  <si>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</si>
  <si>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</si>
  <si>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</si>
  <si>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</si>
  <si>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</si>
  <si>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</si>
  <si>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</si>
  <si>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</si>
  <si>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</si>
  <si>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</si>
  <si>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</si>
  <si>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</si>
  <si>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</si>
  <si>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</si>
  <si>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</si>
  <si>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</si>
  <si>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</si>
  <si>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</si>
  <si>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</si>
  <si>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</si>
  <si>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</si>
  <si>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</si>
  <si>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</si>
  <si>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</si>
  <si>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</si>
  <si>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</si>
  <si>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</si>
  <si>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</si>
  <si>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</si>
  <si>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</si>
  <si>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</si>
  <si>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</si>
  <si>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</si>
  <si>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</si>
  <si>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</si>
  <si>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</si>
  <si>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</si>
  <si>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</si>
  <si>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</si>
  <si>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</si>
  <si>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</si>
  <si>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</si>
  <si>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</si>
  <si>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</si>
  <si>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</si>
  <si>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</si>
  <si>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</si>
  <si>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</si>
  <si>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</si>
  <si>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</si>
  <si>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</si>
  <si>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</si>
  <si>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</si>
  <si>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</si>
  <si>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</si>
  <si>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</si>
  <si>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</si>
  <si>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</si>
  <si>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</si>
  <si>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</si>
  <si>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</si>
  <si>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</si>
  <si>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</si>
  <si>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</si>
  <si>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</si>
  <si>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</si>
  <si>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</si>
  <si>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</si>
  <si>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</si>
  <si>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</si>
  <si>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</si>
  <si>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</si>
  <si>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</si>
  <si>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</si>
  <si>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</si>
  <si>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</si>
  <si>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</si>
  <si>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</si>
  <si>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</si>
  <si>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</si>
  <si>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</si>
  <si>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</si>
  <si>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</si>
  <si>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</si>
  <si>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</si>
  <si>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</si>
  <si>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</si>
  <si>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</si>
  <si>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</si>
  <si>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</si>
  <si>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</si>
  <si>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</si>
  <si>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</si>
  <si>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</si>
  <si>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</si>
  <si>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</si>
  <si>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</si>
  <si>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</si>
  <si>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</si>
  <si>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</si>
  <si>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</si>
  <si>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</si>
  <si>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</si>
  <si>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</si>
  <si>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</si>
  <si>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</si>
  <si>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</si>
  <si>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</si>
  <si>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</si>
  <si>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</si>
  <si>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</si>
  <si>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</si>
  <si>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</si>
  <si>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</si>
  <si>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</si>
  <si>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</si>
  <si>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</si>
  <si>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</si>
  <si>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</si>
  <si>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</si>
  <si>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</si>
  <si>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</si>
  <si>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</si>
  <si>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</si>
  <si>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</si>
  <si>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</si>
  <si>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</si>
  <si>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</si>
  <si>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</si>
  <si>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</si>
  <si>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</si>
  <si>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</si>
  <si>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</si>
  <si>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</si>
  <si>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</si>
  <si>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</si>
  <si>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</si>
  <si>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</si>
  <si>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</si>
  <si>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</si>
  <si>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</si>
  <si>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</si>
  <si>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</si>
  <si>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</si>
  <si>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</si>
  <si>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</si>
  <si>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</si>
  <si>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</si>
  <si>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</si>
  <si>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</si>
  <si>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</si>
  <si>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</si>
  <si>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</si>
  <si>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</si>
  <si>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</si>
  <si>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</si>
  <si>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</si>
  <si>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</si>
  <si>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</si>
  <si>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</si>
  <si>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</si>
  <si>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</si>
  <si>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</si>
  <si>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</si>
  <si>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</si>
  <si>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</si>
  <si>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</si>
  <si>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</si>
  <si>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</si>
  <si>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</si>
  <si>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</si>
  <si>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</si>
  <si>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</si>
  <si>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</si>
  <si>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</si>
  <si>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</si>
  <si>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</si>
  <si>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</si>
  <si>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</si>
  <si>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</si>
  <si>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</si>
  <si>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</si>
  <si>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</si>
  <si>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</si>
  <si>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</si>
  <si>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</si>
  <si>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</si>
  <si>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</si>
  <si>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</si>
  <si>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</si>
  <si>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</si>
  <si>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</si>
  <si>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</si>
  <si>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</si>
  <si>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</si>
  <si>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</si>
  <si>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</si>
  <si>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</si>
  <si>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</si>
  <si>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</si>
  <si>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</si>
  <si>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</si>
  <si>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</si>
  <si>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</si>
  <si>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</si>
  <si>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</si>
  <si>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</si>
  <si>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</si>
  <si>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</si>
  <si>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</si>
  <si>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</si>
  <si>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</si>
  <si>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</si>
  <si>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</si>
  <si>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</si>
  <si>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</si>
  <si>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</si>
  <si>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</si>
  <si>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</si>
  <si>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</si>
  <si>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</si>
  <si>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</si>
  <si>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</si>
  <si>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</si>
  <si>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</si>
  <si>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</si>
  <si>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</si>
  <si>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</si>
  <si>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</si>
  <si>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</si>
  <si>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</si>
  <si>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</si>
  <si>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</si>
  <si>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</si>
  <si>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</si>
  <si>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</si>
  <si>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</si>
  <si>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</si>
  <si>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</si>
  <si>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</si>
  <si>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</si>
  <si>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</si>
  <si>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</si>
  <si>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</si>
  <si>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</si>
  <si>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</si>
  <si>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</si>
  <si>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</si>
  <si>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</si>
  <si>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</si>
  <si>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</si>
  <si>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</si>
  <si>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</si>
  <si>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</si>
  <si>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</si>
  <si>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</si>
  <si>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</si>
  <si>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</si>
  <si>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</si>
  <si>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</si>
  <si>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</si>
  <si>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</si>
  <si>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</si>
  <si>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</si>
  <si>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</si>
  <si>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</si>
  <si>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</si>
  <si>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</si>
  <si>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</si>
  <si>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</si>
  <si>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</si>
  <si>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</si>
  <si>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</si>
  <si>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</si>
  <si>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</si>
  <si>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</si>
  <si>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</si>
  <si>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</si>
  <si>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</si>
  <si>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</si>
  <si>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</si>
  <si>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</si>
  <si>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</si>
  <si>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</si>
  <si>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</si>
  <si>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</si>
  <si>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</si>
  <si>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</si>
  <si>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</si>
  <si>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</si>
  <si>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</si>
  <si>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</si>
  <si>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</si>
  <si>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</si>
  <si>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</si>
  <si>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</si>
  <si>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</si>
  <si>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</si>
  <si>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</si>
  <si>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</si>
  <si>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</si>
  <si>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</si>
  <si>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</si>
  <si>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</si>
  <si>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</si>
  <si>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</si>
  <si>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</si>
  <si>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</si>
  <si>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</si>
  <si>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</si>
  <si>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</si>
  <si>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</si>
  <si>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</si>
  <si>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</si>
  <si>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</si>
  <si>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</si>
  <si>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</si>
  <si>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</si>
  <si>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</si>
  <si>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</si>
  <si>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</si>
  <si>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</si>
  <si>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</si>
  <si>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</si>
  <si>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</si>
  <si>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</si>
  <si>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</si>
  <si>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</si>
  <si>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</si>
  <si>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</si>
  <si>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</si>
  <si>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</si>
  <si>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</si>
  <si>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</si>
  <si>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</si>
  <si>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</si>
  <si>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</si>
  <si>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</si>
  <si>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</si>
  <si>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</si>
  <si>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</si>
  <si>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</si>
  <si>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</si>
  <si>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</si>
  <si>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</si>
  <si>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</si>
  <si>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</si>
  <si>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</si>
  <si>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</si>
  <si>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</si>
  <si>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</si>
  <si>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</si>
  <si>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</si>
  <si>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</si>
  <si>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</si>
  <si>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</si>
  <si>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</si>
  <si>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</si>
  <si>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</si>
  <si>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</si>
  <si>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</si>
  <si>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</si>
  <si>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</si>
  <si>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</si>
  <si>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</si>
  <si>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</si>
  <si>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</si>
  <si>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</si>
  <si>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</si>
  <si>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</si>
  <si>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</si>
  <si>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</si>
  <si>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</si>
  <si>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</si>
  <si>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</si>
  <si>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</si>
  <si>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</si>
  <si>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</si>
  <si>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</si>
  <si>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</si>
  <si>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</si>
  <si>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</si>
  <si>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</si>
  <si>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</si>
  <si>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</si>
  <si>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</si>
  <si>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</si>
  <si>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</si>
  <si>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</si>
  <si>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</si>
  <si>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</si>
  <si>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</si>
  <si>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</si>
  <si>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</si>
  <si>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</si>
  <si>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</si>
  <si>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</si>
  <si>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</si>
  <si>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</si>
  <si>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</si>
  <si>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</si>
  <si>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</si>
  <si>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</si>
  <si>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</si>
  <si>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</si>
  <si>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</si>
  <si>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</si>
  <si>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</si>
  <si>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</si>
  <si>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</si>
  <si>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</si>
  <si>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</si>
  <si>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</si>
  <si>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</si>
  <si>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</si>
  <si>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</si>
  <si>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</si>
  <si>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</si>
  <si>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</si>
  <si>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</si>
  <si>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</si>
  <si>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</si>
  <si>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</si>
  <si>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</si>
  <si>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</si>
  <si>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</si>
  <si>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</si>
  <si>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</si>
  <si>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</si>
  <si>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</si>
  <si>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</si>
  <si>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</si>
  <si>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</si>
  <si>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</si>
  <si>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</si>
  <si>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</si>
  <si>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</si>
  <si>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</si>
  <si>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</si>
  <si>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</si>
  <si>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</si>
  <si>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</si>
  <si>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</si>
  <si>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</si>
  <si>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</si>
  <si>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</si>
  <si>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</si>
  <si>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</si>
  <si>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</si>
  <si>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</si>
  <si>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</si>
  <si>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</si>
  <si>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</si>
  <si>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</si>
  <si>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</si>
  <si>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</si>
  <si>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</si>
  <si>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</si>
  <si>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</si>
  <si>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</si>
  <si>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</si>
  <si>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</si>
  <si>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</si>
  <si>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</si>
  <si>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</si>
  <si>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</si>
  <si>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</si>
  <si>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</si>
  <si>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</si>
  <si>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</si>
  <si>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</si>
  <si>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</si>
  <si>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</si>
  <si>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</si>
  <si>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</si>
  <si>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</si>
  <si>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</si>
  <si>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</si>
  <si>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</si>
  <si>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</si>
  <si>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</si>
  <si>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</si>
  <si>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</si>
  <si>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</si>
  <si>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</si>
  <si>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</si>
  <si>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</si>
  <si>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</si>
  <si>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</si>
  <si>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</si>
  <si>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</si>
  <si>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</si>
  <si>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</si>
  <si>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</si>
  <si>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</si>
  <si>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</si>
  <si>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</si>
  <si>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</si>
  <si>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</si>
  <si>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</si>
  <si>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</si>
  <si>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</si>
  <si>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</si>
  <si>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</si>
  <si>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</si>
  <si>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</si>
  <si>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</si>
  <si>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</si>
  <si>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</si>
  <si>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</si>
  <si>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</si>
  <si>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</si>
  <si>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</si>
  <si>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</si>
  <si>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</si>
  <si>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</si>
  <si>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</si>
  <si>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</si>
  <si>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</si>
  <si>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</si>
  <si>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</si>
  <si>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</si>
  <si>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</si>
  <si>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</si>
  <si>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</si>
  <si>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</si>
  <si>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</si>
  <si>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</si>
  <si>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</si>
  <si>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</si>
  <si>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</si>
  <si>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</si>
  <si>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</si>
  <si>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</si>
  <si>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</si>
  <si>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</si>
  <si>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</si>
  <si>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</si>
  <si>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</si>
  <si>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</si>
  <si>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</si>
  <si>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</si>
  <si>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</si>
  <si>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</si>
  <si>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</si>
  <si>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</si>
  <si>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</si>
  <si>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</si>
  <si>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</si>
  <si>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</si>
  <si>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</si>
  <si>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</si>
  <si>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</si>
  <si>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</si>
  <si>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</si>
  <si>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</si>
  <si>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</si>
  <si>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</si>
  <si>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</si>
  <si>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</si>
  <si>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</si>
  <si>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</si>
  <si>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</si>
  <si>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</si>
  <si>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</si>
  <si>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</si>
  <si>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</si>
  <si>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</si>
  <si>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</si>
  <si>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</si>
  <si>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</si>
  <si>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</si>
  <si>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</si>
  <si>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</si>
  <si>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</si>
  <si>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</si>
  <si>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</si>
  <si>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</si>
  <si>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</si>
  <si>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</si>
  <si>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</si>
  <si>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</si>
  <si>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</si>
  <si>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</si>
  <si>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</si>
  <si>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</si>
  <si>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</si>
  <si>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</si>
  <si>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</si>
  <si>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</si>
  <si>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</si>
  <si>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</si>
  <si>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</si>
  <si>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</si>
  <si>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</si>
  <si>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</si>
  <si>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</si>
  <si>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</si>
  <si>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</si>
  <si>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</si>
  <si>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</si>
  <si>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</si>
  <si>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</si>
  <si>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</si>
  <si>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</si>
  <si>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</si>
  <si>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</si>
  <si>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</si>
  <si>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</si>
  <si>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</si>
  <si>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</si>
  <si>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</si>
  <si>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</si>
  <si>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</si>
  <si>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</si>
  <si>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</si>
  <si>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</si>
  <si>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</si>
  <si>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</si>
  <si>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</si>
  <si>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</si>
  <si>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</si>
  <si>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</si>
  <si>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</si>
  <si>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</si>
  <si>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</si>
  <si>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</si>
  <si>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</si>
  <si>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</si>
  <si>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</si>
  <si>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</si>
  <si>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</si>
  <si>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</si>
  <si>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</si>
  <si>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</si>
  <si>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</si>
  <si>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</si>
  <si>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</si>
  <si>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</si>
  <si>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</si>
  <si>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</si>
  <si>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</si>
  <si>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</si>
  <si>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</si>
  <si>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</si>
  <si>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</si>
  <si>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</si>
  <si>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</si>
  <si>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</si>
  <si>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</si>
  <si>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</si>
  <si>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</si>
  <si>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</si>
  <si>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</si>
  <si>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</si>
  <si>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</si>
  <si>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</si>
  <si>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</si>
  <si>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</si>
  <si>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</si>
  <si>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</si>
  <si>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</si>
  <si>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</si>
  <si>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</si>
  <si>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</si>
  <si>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</si>
  <si>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</si>
  <si>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</si>
  <si>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</si>
  <si>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</si>
  <si>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</si>
  <si>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</si>
  <si>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</si>
  <si>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</si>
  <si>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</si>
  <si>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</si>
  <si>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</si>
  <si>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</si>
  <si>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</si>
  <si>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</si>
  <si>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</si>
  <si>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</si>
  <si>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</si>
  <si>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</si>
  <si>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</si>
  <si>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</si>
  <si>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</si>
  <si>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</si>
  <si>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</si>
  <si>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</si>
  <si>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</si>
  <si>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</si>
  <si>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</si>
  <si>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</si>
  <si>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</si>
  <si>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</si>
  <si>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</si>
  <si>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</si>
  <si>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</si>
  <si>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</si>
  <si>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</si>
  <si>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</si>
  <si>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</si>
  <si>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</si>
  <si>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</si>
  <si>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</si>
  <si>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</si>
  <si>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</si>
  <si>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</si>
  <si>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</si>
  <si>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</si>
  <si>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</si>
  <si>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</si>
  <si>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</si>
  <si>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</si>
  <si>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</si>
  <si>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</si>
  <si>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</si>
  <si>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</si>
  <si>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</si>
  <si>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</si>
  <si>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</si>
  <si>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</si>
  <si>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</si>
  <si>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</si>
  <si>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</si>
  <si>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</si>
  <si>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</si>
  <si>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</si>
  <si>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</si>
  <si>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</si>
  <si>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</si>
  <si>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</si>
  <si>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</si>
  <si>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</si>
  <si>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</si>
  <si>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</si>
  <si>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</si>
  <si>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</si>
  <si>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</si>
  <si>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</si>
  <si>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</si>
  <si>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</si>
  <si>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</si>
  <si>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</si>
  <si>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</si>
  <si>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</si>
  <si>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</si>
  <si>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</si>
  <si>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</si>
  <si>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</si>
  <si>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</si>
  <si>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</si>
  <si>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</si>
  <si>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</si>
  <si>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</si>
  <si>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</si>
  <si>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</si>
  <si>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</si>
  <si>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</si>
  <si>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</si>
  <si>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</si>
  <si>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</si>
  <si>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</si>
  <si>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</si>
  <si>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</si>
  <si>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</si>
  <si>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</si>
  <si>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</si>
  <si>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</si>
  <si>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</si>
  <si>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</si>
  <si>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</si>
  <si>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</si>
  <si>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</si>
  <si>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</si>
  <si>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</si>
  <si>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</si>
  <si>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</si>
  <si>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</si>
  <si>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</si>
  <si>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</si>
  <si>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</si>
  <si>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</si>
  <si>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</si>
  <si>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</si>
  <si>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</si>
  <si>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</si>
  <si>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</si>
  <si>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</si>
  <si>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</si>
  <si>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</si>
  <si>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</si>
  <si>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</si>
  <si>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</si>
  <si>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</si>
  <si>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</si>
  <si>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</si>
  <si>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</si>
  <si>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</si>
  <si>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</si>
  <si>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</si>
  <si>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</si>
  <si>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</si>
  <si>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</si>
  <si>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</si>
  <si>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</si>
  <si>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</si>
  <si>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</si>
  <si>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</si>
  <si>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</si>
  <si>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</si>
  <si>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</si>
  <si>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</si>
  <si>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</si>
  <si>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</si>
  <si>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</si>
  <si>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</si>
  <si>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</si>
  <si>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</si>
  <si>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</si>
  <si>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</si>
  <si>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</si>
  <si>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</si>
  <si>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</si>
  <si>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</si>
  <si>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</si>
  <si>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</si>
  <si>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</si>
  <si>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</si>
  <si>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</si>
  <si>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</si>
  <si>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</si>
  <si>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</si>
  <si>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</si>
  <si>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</si>
  <si>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</si>
  <si>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</si>
  <si>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</si>
  <si>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</si>
  <si>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</si>
  <si>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</si>
  <si>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</si>
  <si>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</si>
  <si>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</si>
  <si>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</si>
  <si>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</si>
  <si>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</si>
  <si>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</si>
  <si>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</si>
  <si>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</si>
  <si>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</si>
  <si>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</si>
  <si>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</si>
  <si>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</si>
  <si>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</si>
  <si>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</si>
  <si>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</si>
  <si>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</si>
  <si>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</si>
  <si>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</si>
  <si>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</si>
  <si>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</si>
  <si>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</si>
  <si>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</si>
  <si>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</si>
  <si>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</si>
  <si>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</si>
  <si>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</si>
  <si>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</si>
  <si>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</si>
  <si>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</si>
  <si>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</si>
  <si>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</si>
  <si>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</si>
  <si>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</si>
  <si>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</si>
  <si>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</si>
  <si>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</si>
  <si>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</si>
  <si>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</si>
  <si>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</si>
  <si>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</si>
  <si>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</si>
  <si>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</si>
  <si>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</si>
  <si>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</si>
  <si>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</si>
  <si>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</si>
  <si>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</si>
  <si>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</si>
  <si>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</si>
  <si>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</si>
  <si>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</si>
  <si>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</si>
  <si>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</si>
  <si>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</si>
  <si>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</si>
  <si>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</si>
  <si>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</si>
  <si>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</si>
  <si>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</si>
  <si>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</si>
  <si>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</si>
  <si>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</si>
  <si>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</si>
  <si>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</si>
  <si>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</si>
  <si>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</si>
  <si>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</si>
  <si>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</si>
  <si>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</si>
  <si>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</si>
  <si>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</si>
  <si>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</si>
  <si>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</si>
  <si>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</si>
  <si>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</si>
  <si>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</si>
  <si>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</si>
  <si>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</si>
  <si>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</si>
  <si>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</si>
  <si>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</si>
  <si>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</si>
  <si>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</si>
  <si>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</si>
  <si>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</si>
  <si>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</si>
  <si>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</si>
  <si>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</si>
  <si>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</si>
  <si>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</si>
  <si>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</si>
  <si>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</si>
  <si>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</si>
  <si>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</si>
  <si>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</si>
  <si>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</si>
  <si>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</si>
  <si>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</si>
  <si>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</si>
  <si>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</si>
  <si>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</si>
  <si>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</si>
  <si>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</si>
  <si>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</si>
  <si>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</si>
  <si>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</si>
  <si>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</si>
  <si>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</si>
  <si>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</si>
  <si>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</si>
  <si>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</si>
  <si>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</si>
  <si>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</si>
  <si>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</si>
  <si>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</si>
  <si>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</si>
  <si>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</si>
  <si>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</si>
  <si>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</si>
  <si>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</si>
  <si>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</si>
  <si>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</si>
  <si>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</si>
  <si>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</si>
  <si>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</si>
  <si>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</si>
  <si>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</si>
  <si>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</si>
  <si>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</si>
  <si>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</si>
  <si>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</si>
  <si>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</si>
  <si>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</si>
  <si>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</si>
  <si>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</si>
  <si>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</si>
  <si>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</si>
  <si>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</si>
  <si>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</si>
  <si>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</si>
  <si>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</si>
  <si>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</si>
  <si>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</si>
  <si>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</si>
  <si>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</si>
  <si>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</si>
  <si>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</si>
  <si>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</si>
  <si>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</si>
  <si>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</si>
  <si>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</si>
  <si>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</si>
  <si>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</si>
  <si>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</si>
  <si>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</si>
  <si>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</si>
  <si>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</si>
  <si>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</si>
  <si>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</si>
  <si>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</si>
  <si>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</si>
  <si>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</si>
  <si>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</si>
  <si>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</si>
  <si>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</si>
  <si>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</si>
  <si>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</si>
  <si>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</si>
  <si>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</si>
  <si>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</si>
  <si>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</si>
  <si>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</si>
  <si>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</si>
  <si>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</si>
  <si>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</si>
  <si>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</si>
  <si>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</si>
  <si>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</si>
  <si>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</si>
  <si>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</si>
  <si>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</si>
  <si>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</si>
  <si>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</si>
  <si>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</si>
  <si>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</si>
  <si>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</si>
  <si>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</si>
  <si>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</si>
  <si>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</si>
  <si>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</si>
  <si>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</si>
  <si>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</si>
  <si>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</si>
  <si>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</si>
  <si>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</si>
  <si>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</si>
  <si>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</si>
  <si>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</si>
  <si>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</si>
  <si>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</si>
  <si>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</si>
  <si>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</si>
  <si>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</si>
  <si>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</si>
  <si>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</si>
  <si>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</si>
  <si>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</si>
  <si>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</si>
  <si>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</si>
  <si>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</si>
  <si>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</si>
  <si>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</si>
  <si>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</si>
  <si>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</si>
  <si>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</si>
  <si>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</si>
  <si>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</si>
  <si>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</si>
  <si>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</si>
  <si>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</si>
  <si>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</si>
  <si>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</si>
  <si>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</si>
  <si>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</si>
  <si>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</si>
  <si>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</si>
  <si>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</si>
  <si>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</si>
  <si>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</si>
  <si>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</si>
  <si>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</si>
  <si>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</si>
  <si>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</si>
  <si>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</si>
  <si>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</si>
  <si>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</si>
  <si>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</si>
  <si>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</si>
  <si>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</si>
  <si>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</si>
  <si>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</si>
  <si>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</si>
  <si>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</si>
  <si>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</si>
  <si>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</si>
  <si>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</si>
  <si>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</si>
  <si>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</si>
  <si>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</si>
  <si>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</si>
  <si>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</si>
  <si>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</si>
  <si>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</si>
  <si>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</si>
  <si>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</si>
  <si>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</si>
  <si>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</si>
  <si>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</si>
  <si>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</si>
  <si>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</si>
  <si>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</si>
  <si>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</si>
  <si>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</si>
  <si>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</si>
  <si>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</si>
  <si>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</si>
  <si>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</si>
  <si>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</si>
  <si>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</si>
  <si>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</si>
  <si>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</si>
  <si>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</si>
  <si>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</si>
  <si>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</si>
  <si>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</si>
  <si>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</si>
  <si>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</si>
  <si>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</si>
  <si>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</si>
  <si>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</si>
  <si>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</si>
  <si>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</si>
  <si>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</si>
  <si>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</si>
  <si>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</si>
  <si>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</si>
  <si>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</si>
  <si>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</si>
  <si>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</si>
  <si>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</si>
  <si>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</si>
  <si>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</si>
  <si>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</si>
  <si>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</si>
  <si>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</si>
  <si>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</si>
  <si>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</si>
  <si>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</si>
  <si>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</si>
  <si>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</si>
  <si>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</si>
  <si>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</si>
  <si>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</si>
  <si>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</si>
  <si>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</si>
  <si>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</si>
  <si>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</si>
  <si>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</si>
  <si>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</si>
  <si>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</si>
  <si>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</si>
  <si>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</si>
  <si>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</si>
  <si>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</si>
  <si>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</si>
  <si>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</si>
  <si>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</si>
  <si>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</si>
  <si>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</si>
  <si>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</si>
  <si>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</si>
  <si>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</si>
  <si>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</si>
  <si>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</si>
  <si>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</si>
  <si>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</si>
  <si>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</si>
  <si>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</si>
  <si>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</si>
  <si>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</si>
  <si>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</si>
  <si>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</si>
  <si>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</si>
  <si>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</si>
  <si>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</si>
  <si>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</si>
  <si>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</si>
  <si>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</si>
  <si>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</si>
  <si>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</si>
  <si>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</si>
  <si>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</si>
  <si>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</si>
  <si>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</si>
  <si>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</si>
  <si>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</si>
  <si>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</si>
  <si>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</si>
  <si>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</si>
  <si>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</si>
  <si>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</si>
  <si>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</si>
  <si>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</si>
  <si>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</si>
  <si>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</si>
  <si>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</si>
  <si>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</si>
  <si>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</si>
  <si>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</si>
  <si>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</si>
  <si>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</si>
  <si>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</si>
  <si>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</si>
  <si>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</si>
  <si>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</si>
  <si>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</si>
  <si>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</si>
  <si>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</si>
  <si>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</si>
  <si>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</si>
  <si>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</si>
  <si>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</si>
  <si>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</si>
  <si>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</si>
  <si>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</si>
  <si>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</si>
  <si>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</si>
  <si>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</si>
  <si>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</si>
  <si>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</si>
  <si>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</si>
  <si>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</si>
  <si>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</si>
  <si>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</si>
  <si>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</si>
  <si>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</si>
  <si>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</si>
  <si>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</si>
  <si>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</si>
  <si>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</si>
  <si>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</si>
  <si>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</si>
  <si>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</si>
  <si>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</si>
  <si>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</si>
  <si>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</si>
  <si>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</si>
  <si>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</si>
  <si>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</si>
  <si>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</si>
  <si>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</si>
  <si>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</si>
  <si>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</si>
  <si>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</si>
  <si>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</si>
  <si>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</si>
  <si>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</si>
  <si>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</si>
  <si>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</si>
  <si>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</si>
  <si>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</si>
  <si>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</si>
  <si>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</si>
  <si>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</si>
  <si>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</si>
  <si>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</si>
  <si>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</si>
  <si>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</si>
  <si>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</si>
  <si>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</si>
  <si>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</si>
  <si>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</si>
  <si>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</si>
  <si>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</si>
  <si>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</si>
  <si>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</si>
  <si>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</si>
  <si>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</si>
  <si>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</si>
  <si>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</si>
  <si>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</si>
  <si>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</si>
  <si>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</si>
  <si>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</si>
  <si>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</si>
  <si>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</si>
  <si>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</si>
  <si>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</si>
  <si>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</si>
  <si>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</si>
  <si>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</si>
  <si>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</si>
  <si>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</si>
  <si>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</si>
  <si>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</si>
  <si>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</si>
  <si>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</si>
  <si>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</si>
  <si>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</si>
  <si>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</si>
  <si>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</si>
  <si>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</si>
  <si>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</si>
  <si>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</si>
  <si>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</si>
  <si>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</si>
  <si>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</si>
  <si>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</si>
  <si>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</si>
  <si>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</si>
  <si>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</si>
  <si>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</si>
  <si>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</si>
  <si>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</si>
  <si>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</si>
  <si>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</si>
  <si>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</si>
  <si>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</si>
  <si>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</si>
  <si>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</si>
  <si>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</si>
  <si>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</si>
  <si>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</si>
  <si>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</si>
  <si>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</si>
  <si>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</si>
  <si>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</si>
  <si>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</si>
  <si>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</si>
  <si>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</si>
  <si>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</si>
  <si>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</si>
  <si>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</si>
  <si>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</si>
  <si>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</si>
  <si>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</si>
  <si>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</si>
  <si>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</si>
  <si>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</si>
  <si>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</si>
  <si>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</si>
  <si>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</si>
  <si>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</si>
  <si>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</si>
  <si>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</si>
  <si>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</si>
  <si>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</si>
  <si>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</si>
  <si>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</si>
  <si>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</si>
  <si>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</si>
  <si>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</si>
  <si>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</si>
  <si>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</si>
  <si>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</si>
  <si>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</si>
  <si>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</si>
  <si>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</si>
  <si>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</si>
  <si>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</si>
  <si>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</si>
  <si>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</si>
  <si>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</si>
  <si>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</si>
  <si>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</si>
  <si>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</si>
  <si>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</si>
  <si>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</si>
  <si>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</si>
  <si>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</si>
  <si>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</si>
  <si>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</si>
  <si>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</si>
  <si>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</si>
  <si>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</si>
  <si>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</si>
  <si>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</si>
  <si>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</si>
  <si>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</si>
  <si>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</si>
  <si>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</si>
  <si>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</si>
  <si>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</si>
  <si>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</si>
  <si>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</si>
  <si>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</si>
  <si>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</si>
  <si>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</si>
  <si>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</si>
  <si>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</si>
  <si>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</si>
  <si>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</si>
  <si>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</si>
  <si>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</si>
  <si>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</si>
  <si>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</si>
  <si>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</si>
  <si>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</si>
  <si>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</si>
  <si>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</si>
  <si>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</si>
  <si>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</si>
  <si>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</si>
  <si>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</si>
  <si>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</si>
  <si>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</si>
  <si>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</si>
  <si>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</si>
  <si>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</si>
  <si>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</si>
  <si>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</si>
  <si>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</si>
  <si>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</si>
  <si>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</si>
  <si>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</si>
  <si>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</si>
  <si>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</si>
  <si>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</si>
  <si>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</si>
  <si>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</si>
  <si>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</si>
  <si>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</si>
  <si>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</si>
  <si>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</si>
  <si>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</si>
  <si>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</si>
  <si>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</si>
  <si>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</si>
  <si>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</si>
  <si>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</si>
  <si>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</si>
  <si>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</si>
  <si>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</si>
  <si>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</si>
  <si>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</si>
  <si>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</si>
  <si>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</si>
  <si>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</si>
  <si>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</si>
  <si>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</si>
  <si>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</si>
  <si>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</si>
  <si>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</si>
  <si>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</si>
  <si>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</si>
  <si>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</si>
  <si>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</si>
  <si>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</si>
  <si>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</si>
  <si>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</si>
  <si>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</si>
  <si>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</si>
  <si>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</si>
  <si>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</si>
  <si>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</si>
  <si>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</si>
  <si>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</si>
  <si>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</si>
  <si>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</si>
  <si>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</si>
  <si>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</si>
  <si>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</si>
  <si>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</si>
  <si>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</si>
  <si>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</si>
  <si>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</si>
  <si>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</si>
  <si>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</si>
  <si>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</si>
  <si>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</si>
  <si>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</si>
  <si>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</si>
  <si>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</si>
  <si>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</si>
  <si>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</si>
  <si>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</si>
  <si>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</si>
  <si>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</si>
  <si>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</si>
  <si>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</si>
  <si>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</si>
  <si>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</si>
  <si>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</si>
  <si>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</si>
  <si>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</si>
  <si>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</si>
  <si>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</si>
  <si>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</si>
  <si>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</si>
  <si>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</si>
  <si>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</si>
  <si>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</si>
  <si>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</si>
  <si>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</si>
  <si>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</si>
  <si>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</si>
  <si>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</si>
  <si>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</si>
  <si>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</si>
  <si>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</si>
  <si>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</si>
  <si>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</si>
  <si>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</si>
  <si>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</si>
  <si>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</si>
  <si>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</si>
  <si>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</si>
  <si>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</si>
  <si>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</si>
  <si>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</si>
  <si>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</si>
  <si>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</si>
  <si>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</si>
  <si>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</si>
  <si>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</si>
  <si>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</si>
  <si>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</si>
  <si>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</si>
  <si>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</si>
  <si>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</si>
  <si>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</si>
  <si>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</si>
  <si>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</si>
  <si>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</si>
  <si>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</si>
  <si>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</si>
  <si>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</si>
  <si>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</si>
  <si>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</si>
  <si>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</si>
  <si>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</si>
  <si>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</si>
  <si>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</si>
  <si>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</si>
  <si>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</si>
  <si>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</si>
  <si>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</si>
  <si>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</si>
  <si>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</si>
  <si>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</si>
  <si>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</si>
  <si>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</si>
  <si>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</si>
  <si>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</si>
  <si>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</si>
  <si>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</si>
  <si>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</si>
  <si>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</si>
  <si>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</si>
  <si>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</si>
  <si>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</si>
  <si>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</si>
  <si>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</si>
  <si>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</si>
  <si>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</si>
  <si>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</si>
  <si>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</si>
  <si>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</si>
  <si>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</si>
  <si>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</si>
  <si>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</si>
  <si>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</si>
  <si>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</si>
  <si>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</si>
  <si>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</si>
  <si>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</si>
  <si>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</si>
  <si>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</si>
  <si>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</si>
  <si>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</si>
  <si>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</si>
  <si>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</si>
  <si>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</si>
  <si>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</si>
  <si>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</si>
  <si>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</si>
  <si>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</si>
  <si>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</si>
  <si>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</si>
  <si>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</si>
  <si>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</si>
  <si>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</si>
  <si>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</si>
  <si>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</si>
  <si>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</si>
  <si>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</si>
  <si>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</si>
  <si>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</si>
  <si>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</si>
  <si>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</si>
  <si>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</si>
  <si>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</si>
  <si>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</si>
  <si>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</si>
  <si>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</si>
  <si>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</si>
  <si>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Customer Lifetime Value (LTV)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</si>
</sst>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67BA-D776-48B7-A401-E0DD443AA765}">
  <dimension ref="A1:X7044"/>
  <sheetViews>
    <sheetView tabSelected="1" topLeftCell="E1" workbookViewId="0">
      <selection activeCell="V1" sqref="V1"/>
    </sheetView>
  </sheetViews>
  <sheetFormatPr defaultRowHeight="14.4" x14ac:dyDescent="0.3"/>
  <cols>
    <col min="24" max="24" width="19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X1" s="1" t="s">
        <v>7081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t="s">
        <v>19</v>
      </c>
      <c r="U2" t="s">
        <v>24</v>
      </c>
      <c r="V2" t="str">
        <f>IF(F2&lt;=12,"0-12 months",
IF(A2&lt;=24,"13-24 months",
IF(A2&lt;=36,"25-36 months",
IF(F2&lt;=48,"37-48 months","49+ months"))))</f>
        <v>0-12 months</v>
      </c>
      <c r="X2">
        <f>S2 * F2</f>
        <v>29.85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IF(F3&lt;=12,"0-12 months",
IF(A3&lt;=24,"13-24 months",
IF(A3&lt;=36,"25-36 months",
IF(F3&lt;=48,"37-48 months","49+ months"))))</f>
        <v>37-48 months</v>
      </c>
      <c r="X3">
        <f t="shared" ref="X3:X66" si="1">S3 * F3</f>
        <v>1936.3000000000002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  <c r="X4">
        <f t="shared" si="1"/>
        <v>107.7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37-48 months</v>
      </c>
      <c r="X5">
        <f t="shared" si="1"/>
        <v>1903.4999999999998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  <c r="X6">
        <f t="shared" si="1"/>
        <v>141.4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  <c r="X7">
        <f t="shared" si="1"/>
        <v>797.2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37-48 months</v>
      </c>
      <c r="X8">
        <f t="shared" si="1"/>
        <v>1960.1999999999998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  <c r="X9">
        <f t="shared" si="1"/>
        <v>297.5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37-48 months</v>
      </c>
      <c r="X10">
        <f t="shared" si="1"/>
        <v>2934.4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49+ months</v>
      </c>
      <c r="X11">
        <f t="shared" si="1"/>
        <v>3481.2999999999997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37-48 months</v>
      </c>
      <c r="X12">
        <f t="shared" si="1"/>
        <v>649.35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37-48 months</v>
      </c>
      <c r="X13">
        <f t="shared" si="1"/>
        <v>303.2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49+ months</v>
      </c>
      <c r="X14">
        <f t="shared" si="1"/>
        <v>5820.2999999999993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49+ months</v>
      </c>
      <c r="X15">
        <f t="shared" si="1"/>
        <v>5081.3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37-48 months</v>
      </c>
      <c r="X16">
        <f t="shared" si="1"/>
        <v>2637.5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49+ months</v>
      </c>
      <c r="X17">
        <f t="shared" si="1"/>
        <v>7814.25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49+ months</v>
      </c>
      <c r="X18">
        <f t="shared" si="1"/>
        <v>1073.8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49+ months</v>
      </c>
      <c r="X19">
        <f t="shared" si="1"/>
        <v>7575.7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  <c r="X20">
        <f t="shared" si="1"/>
        <v>552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37-48 months</v>
      </c>
      <c r="X21">
        <f t="shared" si="1"/>
        <v>1891.05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  <c r="X22">
        <f t="shared" si="1"/>
        <v>39.65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  <c r="X23">
        <f t="shared" si="1"/>
        <v>237.60000000000002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  <c r="X24">
        <f t="shared" si="1"/>
        <v>20.149999999999999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49+ months</v>
      </c>
      <c r="X25">
        <f t="shared" si="1"/>
        <v>3474.2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49+ months</v>
      </c>
      <c r="X26">
        <f t="shared" si="1"/>
        <v>2920.4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37-48 months</v>
      </c>
      <c r="X27">
        <f t="shared" si="1"/>
        <v>1659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37-48 months</v>
      </c>
      <c r="X28">
        <f t="shared" si="1"/>
        <v>4669.45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  <c r="X29">
        <f t="shared" si="1"/>
        <v>30.2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49+ months</v>
      </c>
      <c r="X30">
        <f t="shared" si="1"/>
        <v>6498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37-48 months</v>
      </c>
      <c r="X31">
        <f t="shared" si="1"/>
        <v>1099.9000000000001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49+ months</v>
      </c>
      <c r="X32">
        <f t="shared" si="1"/>
        <v>6840.8499999999995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  <c r="X33">
        <f t="shared" si="1"/>
        <v>191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37-48 months</v>
      </c>
      <c r="X34">
        <f t="shared" si="1"/>
        <v>1786.0500000000002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  <c r="X35">
        <f t="shared" si="1"/>
        <v>20.2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  <c r="X36">
        <f t="shared" si="1"/>
        <v>45.25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49+ months</v>
      </c>
      <c r="X37">
        <f t="shared" si="1"/>
        <v>7192.8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  <c r="X38">
        <f t="shared" si="1"/>
        <v>348.5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37-48 months</v>
      </c>
      <c r="X39">
        <f t="shared" si="1"/>
        <v>3440.7999999999997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37-48 months</v>
      </c>
      <c r="X40">
        <f t="shared" si="1"/>
        <v>3615.8999999999996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  <c r="X41">
        <f t="shared" si="1"/>
        <v>1076.3499999999999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  <c r="X42">
        <f t="shared" si="1"/>
        <v>495.5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49+ months</v>
      </c>
      <c r="X43">
        <f t="shared" si="1"/>
        <v>4844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37-48 months</v>
      </c>
      <c r="X44">
        <f t="shared" si="1"/>
        <v>352.75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49+ months</v>
      </c>
      <c r="X45">
        <f t="shared" si="1"/>
        <v>5030.5499999999993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37-48 months</v>
      </c>
      <c r="X46">
        <f t="shared" si="1"/>
        <v>990.6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49+ months</v>
      </c>
      <c r="X47">
        <f t="shared" si="1"/>
        <v>4140.5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  <c r="X48">
        <f t="shared" si="1"/>
        <v>98.5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  <c r="X49">
        <f t="shared" si="1"/>
        <v>161.30000000000001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49+ months</v>
      </c>
      <c r="X50">
        <f t="shared" si="1"/>
        <v>4147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49+ months</v>
      </c>
      <c r="X51">
        <f t="shared" si="1"/>
        <v>4426.3500000000004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37-48 months</v>
      </c>
      <c r="X52">
        <f t="shared" si="1"/>
        <v>3880.75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37-48 months</v>
      </c>
      <c r="X53">
        <f t="shared" si="1"/>
        <v>1486.5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37-48 months</v>
      </c>
      <c r="X54">
        <f t="shared" si="1"/>
        <v>1737.5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  <c r="X55">
        <f t="shared" si="1"/>
        <v>645.20000000000005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49+ months</v>
      </c>
      <c r="X56">
        <f t="shared" si="1"/>
        <v>4491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37-48 months</v>
      </c>
      <c r="X57">
        <f t="shared" si="1"/>
        <v>1718.1000000000001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49+ months</v>
      </c>
      <c r="X58">
        <f t="shared" si="1"/>
        <v>6277.9500000000007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49+ months</v>
      </c>
      <c r="X59">
        <f t="shared" si="1"/>
        <v>7157.7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37-48 months</v>
      </c>
      <c r="X60">
        <f t="shared" si="1"/>
        <v>848.3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49+ months</v>
      </c>
      <c r="X61">
        <f t="shared" si="1"/>
        <v>7740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37-48 months</v>
      </c>
      <c r="X62">
        <f t="shared" si="1"/>
        <v>4723.5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49+ months</v>
      </c>
      <c r="X63">
        <f t="shared" si="1"/>
        <v>5394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49+ months</v>
      </c>
      <c r="X64">
        <f t="shared" si="1"/>
        <v>3031.2000000000003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37-48 months</v>
      </c>
      <c r="X65">
        <f t="shared" si="1"/>
        <v>979.19999999999993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0-12 months</v>
      </c>
      <c r="X66">
        <f t="shared" si="1"/>
        <v>849.6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2">IF(F67&lt;=12,"0-12 months",
IF(A67&lt;=24,"13-24 months",
IF(A67&lt;=36,"25-36 months",
IF(F67&lt;=48,"37-48 months","49+ months"))))</f>
        <v>0-12 months</v>
      </c>
      <c r="X67">
        <f t="shared" ref="X67:X130" si="3">S67 * F67</f>
        <v>225.89999999999998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2"/>
        <v>37-48 months</v>
      </c>
      <c r="X68">
        <f t="shared" si="3"/>
        <v>3708.3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2"/>
        <v>37-48 months</v>
      </c>
      <c r="X69">
        <f t="shared" si="3"/>
        <v>2455.2000000000003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2"/>
        <v>49+ months</v>
      </c>
      <c r="X70">
        <f t="shared" si="3"/>
        <v>1007.4999999999999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2"/>
        <v>0-12 months</v>
      </c>
      <c r="X71">
        <f t="shared" si="3"/>
        <v>798.5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2"/>
        <v>0-12 months</v>
      </c>
      <c r="X72">
        <f t="shared" si="3"/>
        <v>49.05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2"/>
        <v>49+ months</v>
      </c>
      <c r="X73">
        <f t="shared" si="3"/>
        <v>1060.8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2"/>
        <v>49+ months</v>
      </c>
      <c r="X74">
        <f t="shared" si="3"/>
        <v>7142.4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2"/>
        <v>49+ months</v>
      </c>
      <c r="X75">
        <f t="shared" si="3"/>
        <v>1503.5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2"/>
        <v>0-12 months</v>
      </c>
      <c r="X76">
        <f t="shared" si="3"/>
        <v>193.5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2"/>
        <v>49+ months</v>
      </c>
      <c r="X77">
        <f t="shared" si="3"/>
        <v>6188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2"/>
        <v>37-48 months</v>
      </c>
      <c r="X78">
        <f t="shared" si="3"/>
        <v>2559.9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2"/>
        <v>0-12 months</v>
      </c>
      <c r="X79">
        <f t="shared" si="3"/>
        <v>437.2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2"/>
        <v>37-48 months</v>
      </c>
      <c r="X80">
        <f t="shared" si="3"/>
        <v>2242.5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2"/>
        <v>37-48 months</v>
      </c>
      <c r="X81">
        <f t="shared" si="3"/>
        <v>1165.5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2"/>
        <v>0-12 months</v>
      </c>
      <c r="X82">
        <f t="shared" si="3"/>
        <v>79.349999999999994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2"/>
        <v>0-12 months</v>
      </c>
      <c r="X83">
        <f t="shared" si="3"/>
        <v>556.04999999999995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2"/>
        <v>0-12 months</v>
      </c>
      <c r="X84">
        <f t="shared" si="3"/>
        <v>526.05000000000007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2"/>
        <v>37-48 months</v>
      </c>
      <c r="X85">
        <f t="shared" si="3"/>
        <v>4359.5999999999995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2"/>
        <v>49+ months</v>
      </c>
      <c r="X86">
        <f t="shared" si="3"/>
        <v>987.34999999999991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2"/>
        <v>0-12 months</v>
      </c>
      <c r="X87">
        <f t="shared" si="3"/>
        <v>893.69999999999993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2"/>
        <v>37-48 months</v>
      </c>
      <c r="X88">
        <f t="shared" si="3"/>
        <v>2175.25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2"/>
        <v>37-48 months</v>
      </c>
      <c r="X89">
        <f t="shared" si="3"/>
        <v>991.19999999999993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2"/>
        <v>37-48 months</v>
      </c>
      <c r="X90">
        <f t="shared" si="3"/>
        <v>917.69999999999993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2"/>
        <v>37-48 months</v>
      </c>
      <c r="X91">
        <f t="shared" si="3"/>
        <v>978.75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2"/>
        <v>37-48 months</v>
      </c>
      <c r="X92">
        <f t="shared" si="3"/>
        <v>2461.5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2"/>
        <v>0-12 months</v>
      </c>
      <c r="X93">
        <f t="shared" si="3"/>
        <v>74.7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2"/>
        <v>49+ months</v>
      </c>
      <c r="X94">
        <f t="shared" si="3"/>
        <v>5544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2"/>
        <v>49+ months</v>
      </c>
      <c r="X95">
        <f t="shared" si="3"/>
        <v>7218.25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2"/>
        <v>49+ months</v>
      </c>
      <c r="X96">
        <f t="shared" si="3"/>
        <v>7264.8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2"/>
        <v>0-12 months</v>
      </c>
      <c r="X97">
        <f t="shared" si="3"/>
        <v>947.40000000000009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2"/>
        <v>49+ months</v>
      </c>
      <c r="X98">
        <f t="shared" si="3"/>
        <v>4746.3499999999995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2"/>
        <v>0-12 months</v>
      </c>
      <c r="X99">
        <f t="shared" si="3"/>
        <v>105.25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2"/>
        <v>49+ months</v>
      </c>
      <c r="X100">
        <f t="shared" si="3"/>
        <v>1092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2"/>
        <v>37-48 months</v>
      </c>
      <c r="X101">
        <f t="shared" si="3"/>
        <v>2462.5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2"/>
        <v>0-12 months</v>
      </c>
      <c r="X102">
        <f t="shared" si="3"/>
        <v>20.2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2"/>
        <v>0-12 months</v>
      </c>
      <c r="X103">
        <f t="shared" si="3"/>
        <v>19.45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2"/>
        <v>37-48 months</v>
      </c>
      <c r="X104">
        <f t="shared" si="3"/>
        <v>3610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2"/>
        <v>49+ months</v>
      </c>
      <c r="X105">
        <f t="shared" si="3"/>
        <v>3006.2999999999997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2"/>
        <v>49+ months</v>
      </c>
      <c r="X106">
        <f t="shared" si="3"/>
        <v>7480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2"/>
        <v>0-12 months</v>
      </c>
      <c r="X107">
        <f t="shared" si="3"/>
        <v>121.5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2"/>
        <v>49+ months</v>
      </c>
      <c r="X108">
        <f t="shared" si="3"/>
        <v>7498.8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2"/>
        <v>37-48 months</v>
      </c>
      <c r="X109">
        <f t="shared" si="3"/>
        <v>964.8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2"/>
        <v>37-48 months</v>
      </c>
      <c r="X110">
        <f t="shared" si="3"/>
        <v>4057.0499999999997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2"/>
        <v>49+ months</v>
      </c>
      <c r="X111">
        <f t="shared" si="3"/>
        <v>1396.8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2"/>
        <v>49+ months</v>
      </c>
      <c r="X112">
        <f t="shared" si="3"/>
        <v>5321.25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2"/>
        <v>49+ months</v>
      </c>
      <c r="X113">
        <f t="shared" si="3"/>
        <v>3013.4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2"/>
        <v>37-48 months</v>
      </c>
      <c r="X114">
        <f t="shared" si="3"/>
        <v>3940.9500000000003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2"/>
        <v>37-48 months</v>
      </c>
      <c r="X115">
        <f t="shared" si="3"/>
        <v>2830.5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2"/>
        <v>49+ months</v>
      </c>
      <c r="X116">
        <f t="shared" si="3"/>
        <v>3494.4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2"/>
        <v>0-12 months</v>
      </c>
      <c r="X117">
        <f t="shared" si="3"/>
        <v>269.54999999999995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2"/>
        <v>37-48 months</v>
      </c>
      <c r="X118">
        <f t="shared" si="3"/>
        <v>1117.8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2"/>
        <v>0-12 months</v>
      </c>
      <c r="X119">
        <f t="shared" si="3"/>
        <v>1002.5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2"/>
        <v>37-48 months</v>
      </c>
      <c r="X120">
        <f t="shared" si="3"/>
        <v>846.65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2"/>
        <v>37-48 months</v>
      </c>
      <c r="X121">
        <f t="shared" si="3"/>
        <v>2300.4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2"/>
        <v>49+ months</v>
      </c>
      <c r="X122">
        <f t="shared" si="3"/>
        <v>5588.8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2"/>
        <v>0-12 months</v>
      </c>
      <c r="X123">
        <f t="shared" si="3"/>
        <v>124.19999999999999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2"/>
        <v>0-12 months</v>
      </c>
      <c r="X124">
        <f t="shared" si="3"/>
        <v>223.20000000000002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2"/>
        <v>0-12 months</v>
      </c>
      <c r="X125">
        <f t="shared" si="3"/>
        <v>354.90000000000003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2"/>
        <v>0-12 months</v>
      </c>
      <c r="X126">
        <f t="shared" si="3"/>
        <v>83.4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2"/>
        <v>37-48 months</v>
      </c>
      <c r="X127">
        <f t="shared" si="3"/>
        <v>2935.35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2"/>
        <v>37-48 months</v>
      </c>
      <c r="X128">
        <f t="shared" si="3"/>
        <v>2107.35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2"/>
        <v>49+ months</v>
      </c>
      <c r="X129">
        <f t="shared" si="3"/>
        <v>1695.6000000000001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2"/>
        <v>0-12 months</v>
      </c>
      <c r="X130">
        <f t="shared" si="3"/>
        <v>19.75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4">IF(F131&lt;=12,"0-12 months",
IF(A131&lt;=24,"13-24 months",
IF(A131&lt;=36,"25-36 months",
IF(F131&lt;=48,"37-48 months","49+ months"))))</f>
        <v>49+ months</v>
      </c>
      <c r="X131">
        <f t="shared" ref="X131:X194" si="5">S131 * F131</f>
        <v>4007.9500000000003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4"/>
        <v>37-48 months</v>
      </c>
      <c r="X132">
        <f t="shared" si="5"/>
        <v>1117.3500000000001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4"/>
        <v>37-48 months</v>
      </c>
      <c r="X133">
        <f t="shared" si="5"/>
        <v>1465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4"/>
        <v>49+ months</v>
      </c>
      <c r="X134">
        <f t="shared" si="5"/>
        <v>3386.85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4"/>
        <v>0-12 months</v>
      </c>
      <c r="X135">
        <f t="shared" si="5"/>
        <v>35.450000000000003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4"/>
        <v>0-12 months</v>
      </c>
      <c r="X136">
        <f t="shared" si="5"/>
        <v>88.7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4"/>
        <v>37-48 months</v>
      </c>
      <c r="X137">
        <f t="shared" si="5"/>
        <v>1105.0999999999999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4"/>
        <v>37-48 months</v>
      </c>
      <c r="X138">
        <f t="shared" si="5"/>
        <v>1725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4"/>
        <v>49+ months</v>
      </c>
      <c r="X139">
        <f t="shared" si="5"/>
        <v>1292.8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4"/>
        <v>49+ months</v>
      </c>
      <c r="X140">
        <f t="shared" si="5"/>
        <v>1117.2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4"/>
        <v>0-12 months</v>
      </c>
      <c r="X141">
        <f t="shared" si="5"/>
        <v>70.45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4"/>
        <v>49+ months</v>
      </c>
      <c r="X142">
        <f t="shared" si="5"/>
        <v>6339.5999999999995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4"/>
        <v>0-12 months</v>
      </c>
      <c r="X143">
        <f t="shared" si="5"/>
        <v>569.20000000000005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4"/>
        <v>49+ months</v>
      </c>
      <c r="X144">
        <f t="shared" si="5"/>
        <v>6164.05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4"/>
        <v>49+ months</v>
      </c>
      <c r="X145">
        <f t="shared" si="5"/>
        <v>5395.2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4"/>
        <v>49+ months</v>
      </c>
      <c r="X146">
        <f t="shared" si="5"/>
        <v>1700.45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4"/>
        <v>49+ months</v>
      </c>
      <c r="X147">
        <f t="shared" si="5"/>
        <v>6438.25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4"/>
        <v>0-12 months</v>
      </c>
      <c r="X148">
        <f t="shared" si="5"/>
        <v>58.800000000000004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4"/>
        <v>0-12 months</v>
      </c>
      <c r="X149">
        <f t="shared" si="5"/>
        <v>45.65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4"/>
        <v>37-48 months</v>
      </c>
      <c r="X150">
        <f t="shared" si="5"/>
        <v>1935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4"/>
        <v>37-48 months</v>
      </c>
      <c r="X151">
        <f t="shared" si="5"/>
        <v>1042.5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4"/>
        <v>0-12 months</v>
      </c>
      <c r="X152">
        <f t="shared" si="5"/>
        <v>548.4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4"/>
        <v>0-12 months</v>
      </c>
      <c r="X153">
        <f t="shared" si="5"/>
        <v>665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4"/>
        <v>49+ months</v>
      </c>
      <c r="X154">
        <f t="shared" si="5"/>
        <v>7570.5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4"/>
        <v>49+ months</v>
      </c>
      <c r="X155">
        <f t="shared" si="5"/>
        <v>5338.2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4"/>
        <v>0-12 months</v>
      </c>
      <c r="X156">
        <f t="shared" si="5"/>
        <v>118.19999999999999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4"/>
        <v>37-48 months</v>
      </c>
      <c r="X157">
        <f t="shared" si="5"/>
        <v>1132.6000000000001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4"/>
        <v>37-48 months</v>
      </c>
      <c r="X158">
        <f t="shared" si="5"/>
        <v>1851.3000000000002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4"/>
        <v>37-48 months</v>
      </c>
      <c r="X159">
        <f t="shared" si="5"/>
        <v>443.29999999999995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4"/>
        <v>37-48 months</v>
      </c>
      <c r="X160">
        <f t="shared" si="5"/>
        <v>1028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4"/>
        <v>0-12 months</v>
      </c>
      <c r="X161">
        <f t="shared" si="5"/>
        <v>257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4"/>
        <v>37-48 months</v>
      </c>
      <c r="X162">
        <f t="shared" si="5"/>
        <v>728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4"/>
        <v>37-48 months</v>
      </c>
      <c r="X163">
        <f t="shared" si="5"/>
        <v>1648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4"/>
        <v>0-12 months</v>
      </c>
      <c r="X164">
        <f t="shared" si="5"/>
        <v>139.4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4"/>
        <v>49+ months</v>
      </c>
      <c r="X165">
        <f t="shared" si="5"/>
        <v>3916.7000000000003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4"/>
        <v>0-12 months</v>
      </c>
      <c r="X166">
        <f t="shared" si="5"/>
        <v>226.60000000000002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4"/>
        <v>49+ months</v>
      </c>
      <c r="X167">
        <f t="shared" si="5"/>
        <v>1373.1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4"/>
        <v>0-12 months</v>
      </c>
      <c r="X168">
        <f t="shared" si="5"/>
        <v>283.60000000000002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4"/>
        <v>49+ months</v>
      </c>
      <c r="X169">
        <f t="shared" si="5"/>
        <v>6411.5999999999995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4"/>
        <v>49+ months</v>
      </c>
      <c r="X170">
        <f t="shared" si="5"/>
        <v>2627.3999999999996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4"/>
        <v>37-48 months</v>
      </c>
      <c r="X171">
        <f t="shared" si="5"/>
        <v>326.39999999999998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4"/>
        <v>37-48 months</v>
      </c>
      <c r="X172">
        <f t="shared" si="5"/>
        <v>3622.75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4"/>
        <v>0-12 months</v>
      </c>
      <c r="X173">
        <f t="shared" si="5"/>
        <v>208.8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4"/>
        <v>37-48 months</v>
      </c>
      <c r="X174">
        <f t="shared" si="5"/>
        <v>1147.3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4"/>
        <v>49+ months</v>
      </c>
      <c r="X175">
        <f t="shared" si="5"/>
        <v>5027.0499999999993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4"/>
        <v>37-48 months</v>
      </c>
      <c r="X176">
        <f t="shared" si="5"/>
        <v>657.6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4"/>
        <v>37-48 months</v>
      </c>
      <c r="X177">
        <f t="shared" si="5"/>
        <v>839.8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4"/>
        <v>37-48 months</v>
      </c>
      <c r="X178">
        <f t="shared" si="5"/>
        <v>1116.75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4"/>
        <v>0-12 months</v>
      </c>
      <c r="X179">
        <f t="shared" si="5"/>
        <v>535.15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4"/>
        <v>37-48 months</v>
      </c>
      <c r="X180">
        <f t="shared" si="5"/>
        <v>1580.25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4"/>
        <v>49+ months</v>
      </c>
      <c r="X181">
        <f t="shared" si="5"/>
        <v>1253.55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4"/>
        <v>0-12 months</v>
      </c>
      <c r="X182">
        <f t="shared" si="5"/>
        <v>29.95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4"/>
        <v>0-12 months</v>
      </c>
      <c r="X183">
        <f t="shared" si="5"/>
        <v>45.3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4"/>
        <v>0-12 months</v>
      </c>
      <c r="X184">
        <f t="shared" si="5"/>
        <v>676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4"/>
        <v>37-48 months</v>
      </c>
      <c r="X185">
        <f t="shared" si="5"/>
        <v>2466.75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4"/>
        <v>37-48 months</v>
      </c>
      <c r="X186">
        <f t="shared" si="5"/>
        <v>1030.25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4"/>
        <v>0-12 months</v>
      </c>
      <c r="X187">
        <f t="shared" si="5"/>
        <v>24.8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4"/>
        <v>37-48 months</v>
      </c>
      <c r="X188">
        <f t="shared" si="5"/>
        <v>1036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4"/>
        <v>0-12 months</v>
      </c>
      <c r="X189">
        <f t="shared" si="5"/>
        <v>91.199999999999989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4"/>
        <v>37-48 months</v>
      </c>
      <c r="X190">
        <f t="shared" si="5"/>
        <v>255.45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4"/>
        <v>37-48 months</v>
      </c>
      <c r="X191">
        <f t="shared" si="5"/>
        <v>2264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4"/>
        <v>37-48 months</v>
      </c>
      <c r="X192">
        <f t="shared" si="5"/>
        <v>3091.7000000000003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4"/>
        <v>0-12 months</v>
      </c>
      <c r="X193">
        <f t="shared" si="5"/>
        <v>546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4"/>
        <v>49+ months</v>
      </c>
      <c r="X194">
        <f t="shared" si="5"/>
        <v>1362.75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6">IF(F195&lt;=12,"0-12 months",
IF(A195&lt;=24,"13-24 months",
IF(A195&lt;=36,"25-36 months",
IF(F195&lt;=48,"37-48 months","49+ months"))))</f>
        <v>49+ months</v>
      </c>
      <c r="X195">
        <f t="shared" ref="X195:X258" si="7">S195 * F195</f>
        <v>7898.4000000000005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6"/>
        <v>49+ months</v>
      </c>
      <c r="X196">
        <f t="shared" si="7"/>
        <v>1138.7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6"/>
        <v>37-48 months</v>
      </c>
      <c r="X197">
        <f t="shared" si="7"/>
        <v>1931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6"/>
        <v>37-48 months</v>
      </c>
      <c r="X198">
        <f t="shared" si="7"/>
        <v>578.40000000000009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6"/>
        <v>49+ months</v>
      </c>
      <c r="X199">
        <f t="shared" si="7"/>
        <v>6569.65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6"/>
        <v>49+ months</v>
      </c>
      <c r="X200">
        <f t="shared" si="7"/>
        <v>8082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6"/>
        <v>0-12 months</v>
      </c>
      <c r="X201">
        <f t="shared" si="7"/>
        <v>20.75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6"/>
        <v>37-48 months</v>
      </c>
      <c r="X202">
        <f t="shared" si="7"/>
        <v>2751.3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6"/>
        <v>37-48 months</v>
      </c>
      <c r="X203">
        <f t="shared" si="7"/>
        <v>1120.7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6"/>
        <v>49+ months</v>
      </c>
      <c r="X204">
        <f t="shared" si="7"/>
        <v>7494.05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6"/>
        <v>37-48 months</v>
      </c>
      <c r="X205">
        <f t="shared" si="7"/>
        <v>1017.9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6"/>
        <v>37-48 months</v>
      </c>
      <c r="X206">
        <f t="shared" si="7"/>
        <v>3029.3999999999996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6"/>
        <v>37-48 months</v>
      </c>
      <c r="X207">
        <f t="shared" si="7"/>
        <v>2638.35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6"/>
        <v>49+ months</v>
      </c>
      <c r="X208">
        <f t="shared" si="7"/>
        <v>3992.4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6"/>
        <v>0-12 months</v>
      </c>
      <c r="X209">
        <f t="shared" si="7"/>
        <v>79.900000000000006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6"/>
        <v>37-48 months</v>
      </c>
      <c r="X210">
        <f t="shared" si="7"/>
        <v>2025.3999999999999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6"/>
        <v>49+ months</v>
      </c>
      <c r="X211">
        <f t="shared" si="7"/>
        <v>6556.8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6"/>
        <v>0-12 months</v>
      </c>
      <c r="X212">
        <f t="shared" si="7"/>
        <v>92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6"/>
        <v>0-12 months</v>
      </c>
      <c r="X213">
        <f t="shared" si="7"/>
        <v>25.25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6"/>
        <v>49+ months</v>
      </c>
      <c r="X214">
        <f t="shared" si="7"/>
        <v>1204.75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6"/>
        <v>37-48 months</v>
      </c>
      <c r="X215">
        <f t="shared" si="7"/>
        <v>580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6"/>
        <v>37-48 months</v>
      </c>
      <c r="X216">
        <f t="shared" si="7"/>
        <v>1996.3999999999999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6"/>
        <v>49+ months</v>
      </c>
      <c r="X217">
        <f t="shared" si="7"/>
        <v>3348.75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6"/>
        <v>49+ months</v>
      </c>
      <c r="X218">
        <f t="shared" si="7"/>
        <v>3258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6"/>
        <v>49+ months</v>
      </c>
      <c r="X219">
        <f t="shared" si="7"/>
        <v>3735.6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6"/>
        <v>49+ months</v>
      </c>
      <c r="X220">
        <f t="shared" si="7"/>
        <v>5473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6"/>
        <v>0-12 months</v>
      </c>
      <c r="X221">
        <f t="shared" si="7"/>
        <v>640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6"/>
        <v>0-12 months</v>
      </c>
      <c r="X222">
        <f t="shared" si="7"/>
        <v>280.60000000000002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6"/>
        <v>49+ months</v>
      </c>
      <c r="X223">
        <f t="shared" si="7"/>
        <v>1757.25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6"/>
        <v>0-12 months</v>
      </c>
      <c r="X224">
        <f t="shared" si="7"/>
        <v>20.2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6"/>
        <v>0-12 months</v>
      </c>
      <c r="X225">
        <f t="shared" si="7"/>
        <v>200.2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6"/>
        <v>0-12 months</v>
      </c>
      <c r="X226">
        <f t="shared" si="7"/>
        <v>232.20000000000002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6"/>
        <v>37-48 months</v>
      </c>
      <c r="X227">
        <f t="shared" si="7"/>
        <v>1214.4000000000001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6"/>
        <v>37-48 months</v>
      </c>
      <c r="X228">
        <f t="shared" si="7"/>
        <v>2515.65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6"/>
        <v>0-12 months</v>
      </c>
      <c r="X229">
        <f t="shared" si="7"/>
        <v>55.2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6"/>
        <v>37-48 months</v>
      </c>
      <c r="X230">
        <f t="shared" si="7"/>
        <v>2697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6"/>
        <v>37-48 months</v>
      </c>
      <c r="X231">
        <f t="shared" si="7"/>
        <v>4009.1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6"/>
        <v>49+ months</v>
      </c>
      <c r="X232">
        <f t="shared" si="7"/>
        <v>5832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6"/>
        <v>49+ months</v>
      </c>
      <c r="X233">
        <f t="shared" si="7"/>
        <v>4675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6"/>
        <v>0-12 months</v>
      </c>
      <c r="X234">
        <f t="shared" si="7"/>
        <v>84.6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6"/>
        <v>49+ months</v>
      </c>
      <c r="X235">
        <f t="shared" si="7"/>
        <v>1458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6"/>
        <v>37-48 months</v>
      </c>
      <c r="X236">
        <f t="shared" si="7"/>
        <v>729.34999999999991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6"/>
        <v>0-12 months</v>
      </c>
      <c r="X237">
        <f t="shared" si="7"/>
        <v>108.8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6"/>
        <v>0-12 months</v>
      </c>
      <c r="X238">
        <f t="shared" si="7"/>
        <v>296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6"/>
        <v>37-48 months</v>
      </c>
      <c r="X239">
        <f t="shared" si="7"/>
        <v>1316.7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6"/>
        <v>0-12 months</v>
      </c>
      <c r="X240">
        <f t="shared" si="7"/>
        <v>1045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6"/>
        <v>37-48 months</v>
      </c>
      <c r="X241">
        <f t="shared" si="7"/>
        <v>316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6"/>
        <v>49+ months</v>
      </c>
      <c r="X242">
        <f t="shared" si="7"/>
        <v>6235.2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6"/>
        <v>49+ months</v>
      </c>
      <c r="X243">
        <f t="shared" si="7"/>
        <v>7862.4000000000005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6"/>
        <v>37-48 months</v>
      </c>
      <c r="X244">
        <f t="shared" si="7"/>
        <v>3062.7000000000003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6"/>
        <v>49+ months</v>
      </c>
      <c r="X245">
        <f t="shared" si="7"/>
        <v>6136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6"/>
        <v>37-48 months</v>
      </c>
      <c r="X246">
        <f t="shared" si="7"/>
        <v>712.4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6"/>
        <v>0-12 months</v>
      </c>
      <c r="X247">
        <f t="shared" si="7"/>
        <v>301.39999999999998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6"/>
        <v>37-48 months</v>
      </c>
      <c r="X248">
        <f t="shared" si="7"/>
        <v>2665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6"/>
        <v>37-48 months</v>
      </c>
      <c r="X249">
        <f t="shared" si="7"/>
        <v>1116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6"/>
        <v>0-12 months</v>
      </c>
      <c r="X250">
        <f t="shared" si="7"/>
        <v>48.55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6"/>
        <v>37-48 months</v>
      </c>
      <c r="X251">
        <f t="shared" si="7"/>
        <v>4158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6"/>
        <v>49+ months</v>
      </c>
      <c r="X252">
        <f t="shared" si="7"/>
        <v>4768.5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6"/>
        <v>0-12 months</v>
      </c>
      <c r="X253">
        <f t="shared" si="7"/>
        <v>140.80000000000001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6"/>
        <v>0-12 months</v>
      </c>
      <c r="X254">
        <f t="shared" si="7"/>
        <v>40.200000000000003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6"/>
        <v>37-48 months</v>
      </c>
      <c r="X255">
        <f t="shared" si="7"/>
        <v>2678.4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6"/>
        <v>0-12 months</v>
      </c>
      <c r="X256">
        <f t="shared" si="7"/>
        <v>198.5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6"/>
        <v>49+ months</v>
      </c>
      <c r="X257">
        <f t="shared" si="7"/>
        <v>3989.85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6"/>
        <v>49+ months</v>
      </c>
      <c r="X258">
        <f t="shared" si="7"/>
        <v>7021.0999999999995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8">IF(F259&lt;=12,"0-12 months",
IF(A259&lt;=24,"13-24 months",
IF(A259&lt;=36,"25-36 months",
IF(F259&lt;=48,"37-48 months","49+ months"))))</f>
        <v>49+ months</v>
      </c>
      <c r="X259">
        <f t="shared" ref="X259:X322" si="9">S259 * F259</f>
        <v>5717.5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8"/>
        <v>0-12 months</v>
      </c>
      <c r="X260">
        <f t="shared" si="9"/>
        <v>89.2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8"/>
        <v>37-48 months</v>
      </c>
      <c r="X261">
        <f t="shared" si="9"/>
        <v>1305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8"/>
        <v>0-12 months</v>
      </c>
      <c r="X262">
        <f t="shared" si="9"/>
        <v>123.44999999999999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8"/>
        <v>37-48 months</v>
      </c>
      <c r="X263">
        <f t="shared" si="9"/>
        <v>1389.7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8"/>
        <v>49+ months</v>
      </c>
      <c r="X264">
        <f t="shared" si="9"/>
        <v>5121.45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8"/>
        <v>37-48 months</v>
      </c>
      <c r="X265">
        <f t="shared" si="9"/>
        <v>1545.3500000000001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8"/>
        <v>37-48 months</v>
      </c>
      <c r="X266">
        <f t="shared" si="9"/>
        <v>5098.5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8"/>
        <v>49+ months</v>
      </c>
      <c r="X267">
        <f t="shared" si="9"/>
        <v>5374.0999999999995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8"/>
        <v>49+ months</v>
      </c>
      <c r="X268">
        <f t="shared" si="9"/>
        <v>1245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8"/>
        <v>37-48 months</v>
      </c>
      <c r="X269">
        <f t="shared" si="9"/>
        <v>1995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8"/>
        <v>49+ months</v>
      </c>
      <c r="X270">
        <f t="shared" si="9"/>
        <v>1141.6500000000001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8"/>
        <v>49+ months</v>
      </c>
      <c r="X271">
        <f t="shared" si="9"/>
        <v>1721.75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8"/>
        <v>37-48 months</v>
      </c>
      <c r="X272">
        <f t="shared" si="9"/>
        <v>1511.2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8"/>
        <v>49+ months</v>
      </c>
      <c r="X273">
        <f t="shared" si="9"/>
        <v>3405.75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8"/>
        <v>0-12 months</v>
      </c>
      <c r="X274">
        <f t="shared" si="9"/>
        <v>24.8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8"/>
        <v>37-48 months</v>
      </c>
      <c r="X275">
        <f t="shared" si="9"/>
        <v>2141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8"/>
        <v>0-12 months</v>
      </c>
      <c r="X276">
        <f t="shared" si="9"/>
        <v>70.599999999999994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8"/>
        <v>0-12 months</v>
      </c>
      <c r="X277">
        <f t="shared" si="9"/>
        <v>427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8"/>
        <v>49+ months</v>
      </c>
      <c r="X278">
        <f t="shared" si="9"/>
        <v>5462.5999999999995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8"/>
        <v>37-48 months</v>
      </c>
      <c r="X279">
        <f t="shared" si="9"/>
        <v>1363.95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8"/>
        <v>37-48 months</v>
      </c>
      <c r="X280">
        <f t="shared" si="9"/>
        <v>770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8"/>
        <v>0-12 months</v>
      </c>
      <c r="X281">
        <f t="shared" si="9"/>
        <v>252.75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8"/>
        <v>0-12 months</v>
      </c>
      <c r="X282">
        <f t="shared" si="9"/>
        <v>330.9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8"/>
        <v>0-12 months</v>
      </c>
      <c r="X283">
        <f t="shared" si="9"/>
        <v>512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8"/>
        <v>0-12 months</v>
      </c>
      <c r="X284">
        <f t="shared" si="9"/>
        <v>25.4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8"/>
        <v>49+ months</v>
      </c>
      <c r="X285">
        <f t="shared" si="9"/>
        <v>3702.6000000000004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8"/>
        <v>37-48 months</v>
      </c>
      <c r="X286">
        <f t="shared" si="9"/>
        <v>1712.7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8"/>
        <v>37-48 months</v>
      </c>
      <c r="X287">
        <f t="shared" si="9"/>
        <v>1672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8"/>
        <v>37-48 months</v>
      </c>
      <c r="X288">
        <f t="shared" si="9"/>
        <v>887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8"/>
        <v>0-12 months</v>
      </c>
      <c r="X289">
        <f t="shared" si="9"/>
        <v>70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8"/>
        <v>0-12 months</v>
      </c>
      <c r="X290">
        <f t="shared" si="9"/>
        <v>596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8"/>
        <v>0-12 months</v>
      </c>
      <c r="X291">
        <f t="shared" si="9"/>
        <v>448.5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8"/>
        <v>37-48 months</v>
      </c>
      <c r="X292">
        <f t="shared" si="9"/>
        <v>1826.3999999999999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8"/>
        <v>37-48 months</v>
      </c>
      <c r="X293">
        <f t="shared" si="9"/>
        <v>2142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8"/>
        <v>37-48 months</v>
      </c>
      <c r="X294">
        <f t="shared" si="9"/>
        <v>1996.3999999999999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8"/>
        <v>0-12 months</v>
      </c>
      <c r="X295">
        <f t="shared" si="9"/>
        <v>536.09999999999991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8"/>
        <v>0-12 months</v>
      </c>
      <c r="X296">
        <f t="shared" si="9"/>
        <v>236.39999999999998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8"/>
        <v>0-12 months</v>
      </c>
      <c r="X297">
        <f t="shared" si="9"/>
        <v>20.25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8"/>
        <v>49+ months</v>
      </c>
      <c r="X298">
        <f t="shared" si="9"/>
        <v>5399.55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8"/>
        <v>37-48 months</v>
      </c>
      <c r="X299">
        <f t="shared" si="9"/>
        <v>3528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8"/>
        <v>37-48 months</v>
      </c>
      <c r="X300">
        <f t="shared" si="9"/>
        <v>2982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8"/>
        <v>0-12 months</v>
      </c>
      <c r="X301">
        <f t="shared" si="9"/>
        <v>73.599999999999994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8"/>
        <v>37-48 months</v>
      </c>
      <c r="X302">
        <f t="shared" si="9"/>
        <v>1492.7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8"/>
        <v>0-12 months</v>
      </c>
      <c r="X303">
        <f t="shared" si="9"/>
        <v>381.8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8"/>
        <v>0-12 months</v>
      </c>
      <c r="X304">
        <f t="shared" si="9"/>
        <v>361.6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8"/>
        <v>49+ months</v>
      </c>
      <c r="X305">
        <f t="shared" si="9"/>
        <v>4100.3999999999996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8"/>
        <v>37-48 months</v>
      </c>
      <c r="X306">
        <f t="shared" si="9"/>
        <v>3110.2999999999997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8"/>
        <v>49+ months</v>
      </c>
      <c r="X307">
        <f t="shared" si="9"/>
        <v>1289.6000000000001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8"/>
        <v>37-48 months</v>
      </c>
      <c r="X308">
        <f t="shared" si="9"/>
        <v>2396.8000000000002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8"/>
        <v>37-48 months</v>
      </c>
      <c r="X309">
        <f t="shared" si="9"/>
        <v>2190.9499999999998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8"/>
        <v>37-48 months</v>
      </c>
      <c r="X310">
        <f t="shared" si="9"/>
        <v>3843.7000000000003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8"/>
        <v>37-48 months</v>
      </c>
      <c r="X311">
        <f t="shared" si="9"/>
        <v>3780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8"/>
        <v>0-12 months</v>
      </c>
      <c r="X312">
        <f t="shared" si="9"/>
        <v>19.25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8"/>
        <v>37-48 months</v>
      </c>
      <c r="X313">
        <f t="shared" si="9"/>
        <v>1959.1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8"/>
        <v>37-48 months</v>
      </c>
      <c r="X314">
        <f t="shared" si="9"/>
        <v>4947.1499999999996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8"/>
        <v>0-12 months</v>
      </c>
      <c r="X315">
        <f t="shared" si="9"/>
        <v>346.75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8"/>
        <v>0-12 months</v>
      </c>
      <c r="X316">
        <f t="shared" si="9"/>
        <v>403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8"/>
        <v>49+ months</v>
      </c>
      <c r="X317">
        <f t="shared" si="9"/>
        <v>5612.55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8"/>
        <v>49+ months</v>
      </c>
      <c r="X318">
        <f t="shared" si="9"/>
        <v>1412.8999999999999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8"/>
        <v>37-48 months</v>
      </c>
      <c r="X319">
        <f t="shared" si="9"/>
        <v>3051.4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8"/>
        <v>37-48 months</v>
      </c>
      <c r="X320">
        <f t="shared" si="9"/>
        <v>2235.6000000000004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8"/>
        <v>37-48 months</v>
      </c>
      <c r="X321">
        <f t="shared" si="9"/>
        <v>3202.5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8"/>
        <v>49+ months</v>
      </c>
      <c r="X322">
        <f t="shared" si="9"/>
        <v>4452.3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10">IF(F323&lt;=12,"0-12 months",
IF(A323&lt;=24,"13-24 months",
IF(A323&lt;=36,"25-36 months",
IF(F323&lt;=48,"37-48 months","49+ months"))))</f>
        <v>49+ months</v>
      </c>
      <c r="X323">
        <f t="shared" ref="X323:X386" si="11">S323 * F323</f>
        <v>4320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0"/>
        <v>0-12 months</v>
      </c>
      <c r="X324">
        <f t="shared" si="11"/>
        <v>44.8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0"/>
        <v>0-12 months</v>
      </c>
      <c r="X325">
        <f t="shared" si="11"/>
        <v>437.40000000000003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0"/>
        <v>49+ months</v>
      </c>
      <c r="X326">
        <f t="shared" si="11"/>
        <v>4143.45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0"/>
        <v>49+ months</v>
      </c>
      <c r="X327">
        <f t="shared" si="11"/>
        <v>5340.4000000000005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0"/>
        <v>0-12 months</v>
      </c>
      <c r="X328">
        <f t="shared" si="11"/>
        <v>911.90000000000009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0"/>
        <v>0-12 months</v>
      </c>
      <c r="X329">
        <f t="shared" si="11"/>
        <v>140.69999999999999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0"/>
        <v>37-48 months</v>
      </c>
      <c r="X330">
        <f t="shared" si="11"/>
        <v>1005.1999999999999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0"/>
        <v>37-48 months</v>
      </c>
      <c r="X331">
        <f t="shared" si="11"/>
        <v>1405.0500000000002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0"/>
        <v>37-48 months</v>
      </c>
      <c r="X332">
        <f t="shared" si="11"/>
        <v>694.75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0"/>
        <v>0-12 months</v>
      </c>
      <c r="X333">
        <f t="shared" si="11"/>
        <v>153.6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0"/>
        <v>37-48 months</v>
      </c>
      <c r="X334">
        <f t="shared" si="11"/>
        <v>4365.4000000000005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0"/>
        <v>0-12 months</v>
      </c>
      <c r="X335">
        <f t="shared" si="11"/>
        <v>516.94999999999993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0"/>
        <v>0-12 months</v>
      </c>
      <c r="X336">
        <f t="shared" si="11"/>
        <v>161.19999999999999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0"/>
        <v>49+ months</v>
      </c>
      <c r="X337">
        <f t="shared" si="11"/>
        <v>5154.3999999999996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0"/>
        <v>37-48 months</v>
      </c>
      <c r="X338">
        <f t="shared" si="11"/>
        <v>4497.8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0"/>
        <v>49+ months</v>
      </c>
      <c r="X339">
        <f t="shared" si="11"/>
        <v>5994.2000000000007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0"/>
        <v>37-48 months</v>
      </c>
      <c r="X340">
        <f t="shared" si="11"/>
        <v>3412.7999999999997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0"/>
        <v>49+ months</v>
      </c>
      <c r="X341">
        <f t="shared" si="11"/>
        <v>6514.2000000000007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0"/>
        <v>37-48 months</v>
      </c>
      <c r="X342">
        <f t="shared" si="11"/>
        <v>1748.8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0"/>
        <v>49+ months</v>
      </c>
      <c r="X343">
        <f t="shared" si="11"/>
        <v>6088.25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0"/>
        <v>49+ months</v>
      </c>
      <c r="X344">
        <f t="shared" si="11"/>
        <v>4451.7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0"/>
        <v>49+ months</v>
      </c>
      <c r="X345">
        <f t="shared" si="11"/>
        <v>1291.5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0"/>
        <v>37-48 months</v>
      </c>
      <c r="X346">
        <f t="shared" si="11"/>
        <v>830.25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0"/>
        <v>0-12 months</v>
      </c>
      <c r="X347">
        <f t="shared" si="11"/>
        <v>72.099999999999994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0"/>
        <v>0-12 months</v>
      </c>
      <c r="X348">
        <f t="shared" si="11"/>
        <v>180.8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0"/>
        <v>49+ months</v>
      </c>
      <c r="X349">
        <f t="shared" si="11"/>
        <v>1361.5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0"/>
        <v>37-48 months</v>
      </c>
      <c r="X350">
        <f t="shared" si="11"/>
        <v>1033.8500000000001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0"/>
        <v>49+ months</v>
      </c>
      <c r="X351">
        <f t="shared" si="11"/>
        <v>6208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0"/>
        <v>37-48 months</v>
      </c>
      <c r="X352">
        <f t="shared" si="11"/>
        <v>2323.6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0"/>
        <v>37-48 months</v>
      </c>
      <c r="X353">
        <f t="shared" si="11"/>
        <v>758.2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0"/>
        <v>0-12 months</v>
      </c>
      <c r="X354">
        <f t="shared" si="11"/>
        <v>624.05000000000007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0"/>
        <v>0-12 months</v>
      </c>
      <c r="X355">
        <f t="shared" si="11"/>
        <v>339.2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0"/>
        <v>37-48 months</v>
      </c>
      <c r="X356">
        <f t="shared" si="11"/>
        <v>879.9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0"/>
        <v>0-12 months</v>
      </c>
      <c r="X357">
        <f t="shared" si="11"/>
        <v>802.5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0"/>
        <v>37-48 months</v>
      </c>
      <c r="X358">
        <f t="shared" si="11"/>
        <v>865.6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0"/>
        <v>49+ months</v>
      </c>
      <c r="X359">
        <f t="shared" si="11"/>
        <v>6736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0"/>
        <v>37-48 months</v>
      </c>
      <c r="X360">
        <f t="shared" si="11"/>
        <v>830.25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0"/>
        <v>37-48 months</v>
      </c>
      <c r="X361">
        <f t="shared" si="11"/>
        <v>4078.2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0"/>
        <v>0-12 months</v>
      </c>
      <c r="X362">
        <f t="shared" si="11"/>
        <v>101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0"/>
        <v>37-48 months</v>
      </c>
      <c r="X363">
        <f t="shared" si="11"/>
        <v>4050.7999999999997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0"/>
        <v>49+ months</v>
      </c>
      <c r="X364">
        <f t="shared" si="11"/>
        <v>2917.3999999999996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0"/>
        <v>37-48 months</v>
      </c>
      <c r="X365">
        <f t="shared" si="11"/>
        <v>965.85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0"/>
        <v>37-48 months</v>
      </c>
      <c r="X366">
        <f t="shared" si="11"/>
        <v>1366.2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0"/>
        <v>0-12 months</v>
      </c>
      <c r="X367">
        <f t="shared" si="11"/>
        <v>482.5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0"/>
        <v>37-48 months</v>
      </c>
      <c r="X368">
        <f t="shared" si="11"/>
        <v>1378.8500000000001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0"/>
        <v>0-12 months</v>
      </c>
      <c r="X369">
        <f t="shared" si="11"/>
        <v>19.149999999999999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0"/>
        <v>49+ months</v>
      </c>
      <c r="X370">
        <f t="shared" si="11"/>
        <v>7004.1500000000005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0"/>
        <v>49+ months</v>
      </c>
      <c r="X371">
        <f t="shared" si="11"/>
        <v>8107.2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0"/>
        <v>37-48 months</v>
      </c>
      <c r="X372">
        <f t="shared" si="11"/>
        <v>679.80000000000007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0"/>
        <v>0-12 months</v>
      </c>
      <c r="X373">
        <f t="shared" si="11"/>
        <v>171.3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0"/>
        <v>37-48 months</v>
      </c>
      <c r="X374">
        <f t="shared" si="11"/>
        <v>858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0"/>
        <v>49+ months</v>
      </c>
      <c r="X375">
        <f t="shared" si="11"/>
        <v>5586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0"/>
        <v>37-48 months</v>
      </c>
      <c r="X376">
        <f t="shared" si="11"/>
        <v>3555.7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0"/>
        <v>37-48 months</v>
      </c>
      <c r="X377">
        <f t="shared" si="11"/>
        <v>3659.2999999999997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0"/>
        <v>0-12 months</v>
      </c>
      <c r="X378">
        <f t="shared" si="11"/>
        <v>25.35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0"/>
        <v>37-48 months</v>
      </c>
      <c r="X379">
        <f t="shared" si="11"/>
        <v>2623.75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0"/>
        <v>49+ months</v>
      </c>
      <c r="X380">
        <f t="shared" si="11"/>
        <v>5468.6500000000005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0"/>
        <v>37-48 months</v>
      </c>
      <c r="X381">
        <f t="shared" si="11"/>
        <v>1474.75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0"/>
        <v>37-48 months</v>
      </c>
      <c r="X382">
        <f t="shared" si="11"/>
        <v>3534.2000000000003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0"/>
        <v>0-12 months</v>
      </c>
      <c r="X383">
        <f t="shared" si="11"/>
        <v>50.65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0"/>
        <v>49+ months</v>
      </c>
      <c r="X384">
        <f t="shared" si="11"/>
        <v>4665.5999999999995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0"/>
        <v>0-12 months</v>
      </c>
      <c r="X385">
        <f t="shared" si="11"/>
        <v>90.85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10"/>
        <v>37-48 months</v>
      </c>
      <c r="X386">
        <f t="shared" si="11"/>
        <v>5188.7999999999993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12">IF(F387&lt;=12,"0-12 months",
IF(A387&lt;=24,"13-24 months",
IF(A387&lt;=36,"25-36 months",
IF(F387&lt;=48,"37-48 months","49+ months"))))</f>
        <v>0-12 months</v>
      </c>
      <c r="X387">
        <f t="shared" ref="X387:X450" si="13">S387 * F387</f>
        <v>219.45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2"/>
        <v>49+ months</v>
      </c>
      <c r="X388">
        <f t="shared" si="13"/>
        <v>4699.75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2"/>
        <v>37-48 months</v>
      </c>
      <c r="X389">
        <f t="shared" si="13"/>
        <v>2299.5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2"/>
        <v>37-48 months</v>
      </c>
      <c r="X390">
        <f t="shared" si="13"/>
        <v>3977.6000000000004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2"/>
        <v>0-12 months</v>
      </c>
      <c r="X391">
        <f t="shared" si="13"/>
        <v>44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2"/>
        <v>37-48 months</v>
      </c>
      <c r="X392">
        <f t="shared" si="13"/>
        <v>2581.1999999999998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2"/>
        <v>37-48 months</v>
      </c>
      <c r="X393">
        <f t="shared" si="13"/>
        <v>2289.6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2"/>
        <v>0-12 months</v>
      </c>
      <c r="X394">
        <f t="shared" si="13"/>
        <v>88.6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2"/>
        <v>37-48 months</v>
      </c>
      <c r="X395">
        <f t="shared" si="13"/>
        <v>378.09999999999997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2"/>
        <v>37-48 months</v>
      </c>
      <c r="X396">
        <f t="shared" si="13"/>
        <v>3992.1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2"/>
        <v>49+ months</v>
      </c>
      <c r="X397">
        <f t="shared" si="13"/>
        <v>5943.3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2"/>
        <v>37-48 months</v>
      </c>
      <c r="X398">
        <f t="shared" si="13"/>
        <v>3626.7000000000003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2"/>
        <v>37-48 months</v>
      </c>
      <c r="X399">
        <f t="shared" si="13"/>
        <v>2514.3000000000002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2"/>
        <v>37-48 months</v>
      </c>
      <c r="X400">
        <f t="shared" si="13"/>
        <v>1801.8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2"/>
        <v>37-48 months</v>
      </c>
      <c r="X401">
        <f t="shared" si="13"/>
        <v>461.15000000000003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2"/>
        <v>37-48 months</v>
      </c>
      <c r="X402">
        <f t="shared" si="13"/>
        <v>632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2"/>
        <v>0-12 months</v>
      </c>
      <c r="X403">
        <f t="shared" si="13"/>
        <v>220.55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2"/>
        <v>49+ months</v>
      </c>
      <c r="X404">
        <f t="shared" si="13"/>
        <v>6862.05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2"/>
        <v>49+ months</v>
      </c>
      <c r="X405">
        <f t="shared" si="13"/>
        <v>3801.2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2"/>
        <v>37-48 months</v>
      </c>
      <c r="X406">
        <f t="shared" si="13"/>
        <v>394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2"/>
        <v>49+ months</v>
      </c>
      <c r="X407">
        <f t="shared" si="13"/>
        <v>1425.6000000000001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2"/>
        <v>49+ months</v>
      </c>
      <c r="X408">
        <f t="shared" si="13"/>
        <v>5724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2"/>
        <v>37-48 months</v>
      </c>
      <c r="X409">
        <f t="shared" si="13"/>
        <v>3006.4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2"/>
        <v>0-12 months</v>
      </c>
      <c r="X410">
        <f t="shared" si="13"/>
        <v>19.899999999999999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2"/>
        <v>0-12 months</v>
      </c>
      <c r="X411">
        <f t="shared" si="13"/>
        <v>19.600000000000001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2"/>
        <v>0-12 months</v>
      </c>
      <c r="X412">
        <f t="shared" si="13"/>
        <v>244.04999999999998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2"/>
        <v>37-48 months</v>
      </c>
      <c r="X413">
        <f t="shared" si="13"/>
        <v>1124.7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2"/>
        <v>37-48 months</v>
      </c>
      <c r="X414">
        <f t="shared" si="13"/>
        <v>2173.5500000000002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2"/>
        <v>49+ months</v>
      </c>
      <c r="X415">
        <f t="shared" si="13"/>
        <v>4454.8499999999995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2"/>
        <v>37-48 months</v>
      </c>
      <c r="X416">
        <f t="shared" si="13"/>
        <v>3391.2000000000003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2"/>
        <v>37-48 months</v>
      </c>
      <c r="X417">
        <f t="shared" si="13"/>
        <v>1172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2"/>
        <v>49+ months</v>
      </c>
      <c r="X418">
        <f t="shared" si="13"/>
        <v>6909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2"/>
        <v>37-48 months</v>
      </c>
      <c r="X419">
        <f t="shared" si="13"/>
        <v>992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2"/>
        <v>37-48 months</v>
      </c>
      <c r="X420">
        <f t="shared" si="13"/>
        <v>1832.6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2"/>
        <v>0-12 months</v>
      </c>
      <c r="X421">
        <f t="shared" si="13"/>
        <v>75.3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2"/>
        <v>0-12 months</v>
      </c>
      <c r="X422">
        <f t="shared" si="13"/>
        <v>121.5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2"/>
        <v>0-12 months</v>
      </c>
      <c r="X423">
        <f t="shared" si="13"/>
        <v>488.94999999999993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2"/>
        <v>37-48 months</v>
      </c>
      <c r="X424">
        <f t="shared" si="13"/>
        <v>2915.95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2"/>
        <v>37-48 months</v>
      </c>
      <c r="X425">
        <f t="shared" si="13"/>
        <v>1130.8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2"/>
        <v>0-12 months</v>
      </c>
      <c r="X426">
        <f t="shared" si="13"/>
        <v>407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2"/>
        <v>49+ months</v>
      </c>
      <c r="X427">
        <f t="shared" si="13"/>
        <v>2840.75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2"/>
        <v>49+ months</v>
      </c>
      <c r="X428">
        <f t="shared" si="13"/>
        <v>5465.2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2"/>
        <v>0-12 months</v>
      </c>
      <c r="X429">
        <f t="shared" si="13"/>
        <v>859.5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2"/>
        <v>37-48 months</v>
      </c>
      <c r="X430">
        <f t="shared" si="13"/>
        <v>1360.8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2"/>
        <v>49+ months</v>
      </c>
      <c r="X431">
        <f t="shared" si="13"/>
        <v>3961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2"/>
        <v>49+ months</v>
      </c>
      <c r="X432">
        <f t="shared" si="13"/>
        <v>1183.3999999999999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2"/>
        <v>49+ months</v>
      </c>
      <c r="X433">
        <f t="shared" si="13"/>
        <v>4694.4000000000005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2"/>
        <v>0-12 months</v>
      </c>
      <c r="X434">
        <f t="shared" si="13"/>
        <v>106.9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2"/>
        <v>0-12 months</v>
      </c>
      <c r="X435">
        <f t="shared" si="13"/>
        <v>544.79999999999995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2"/>
        <v>37-48 months</v>
      </c>
      <c r="X436">
        <f t="shared" si="13"/>
        <v>809.75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2"/>
        <v>37-48 months</v>
      </c>
      <c r="X437">
        <f t="shared" si="13"/>
        <v>1155.7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2"/>
        <v>37-48 months</v>
      </c>
      <c r="X438">
        <f t="shared" si="13"/>
        <v>750.6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2"/>
        <v>49+ months</v>
      </c>
      <c r="X439">
        <f t="shared" si="13"/>
        <v>8211.6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2"/>
        <v>37-48 months</v>
      </c>
      <c r="X440">
        <f t="shared" si="13"/>
        <v>3144.75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2"/>
        <v>0-12 months</v>
      </c>
      <c r="X441">
        <f t="shared" si="13"/>
        <v>55.05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2"/>
        <v>37-48 months</v>
      </c>
      <c r="X442">
        <f t="shared" si="13"/>
        <v>1807.2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2"/>
        <v>49+ months</v>
      </c>
      <c r="X443">
        <f t="shared" si="13"/>
        <v>4975.95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2"/>
        <v>49+ months</v>
      </c>
      <c r="X444">
        <f t="shared" si="13"/>
        <v>6191.1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2"/>
        <v>37-48 months</v>
      </c>
      <c r="X445">
        <f t="shared" si="13"/>
        <v>1166.3999999999999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2"/>
        <v>37-48 months</v>
      </c>
      <c r="X446">
        <f t="shared" si="13"/>
        <v>2894.4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2"/>
        <v>49+ months</v>
      </c>
      <c r="X447">
        <f t="shared" si="13"/>
        <v>6354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2"/>
        <v>0-12 months</v>
      </c>
      <c r="X448">
        <f t="shared" si="13"/>
        <v>69.55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2"/>
        <v>49+ months</v>
      </c>
      <c r="X449">
        <f t="shared" si="13"/>
        <v>1302.6000000000001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12"/>
        <v>0-12 months</v>
      </c>
      <c r="X450">
        <f t="shared" si="13"/>
        <v>758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14">IF(F451&lt;=12,"0-12 months",
IF(A451&lt;=24,"13-24 months",
IF(A451&lt;=36,"25-36 months",
IF(F451&lt;=48,"37-48 months","49+ months"))))</f>
        <v>49+ months</v>
      </c>
      <c r="X451">
        <f t="shared" ref="X451:X514" si="15">S451 * F451</f>
        <v>7596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14"/>
        <v>49+ months</v>
      </c>
      <c r="X452">
        <f t="shared" si="15"/>
        <v>1580.8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14"/>
        <v>37-48 months</v>
      </c>
      <c r="X453">
        <f t="shared" si="15"/>
        <v>1534.5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14"/>
        <v>49+ months</v>
      </c>
      <c r="X454">
        <f t="shared" si="15"/>
        <v>3612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14"/>
        <v>37-48 months</v>
      </c>
      <c r="X455">
        <f t="shared" si="15"/>
        <v>2269.4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14"/>
        <v>49+ months</v>
      </c>
      <c r="X456">
        <f t="shared" si="15"/>
        <v>1488.3999999999999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14"/>
        <v>37-48 months</v>
      </c>
      <c r="X457">
        <f t="shared" si="15"/>
        <v>2499.6000000000004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14"/>
        <v>37-48 months</v>
      </c>
      <c r="X458">
        <f t="shared" si="15"/>
        <v>2601.2000000000003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14"/>
        <v>37-48 months</v>
      </c>
      <c r="X459">
        <f t="shared" si="15"/>
        <v>2424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14"/>
        <v>0-12 months</v>
      </c>
      <c r="X460">
        <f t="shared" si="15"/>
        <v>40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14"/>
        <v>0-12 months</v>
      </c>
      <c r="X461">
        <f t="shared" si="15"/>
        <v>75.099999999999994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14"/>
        <v>0-12 months</v>
      </c>
      <c r="X462">
        <f t="shared" si="15"/>
        <v>117.89999999999999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14"/>
        <v>37-48 months</v>
      </c>
      <c r="X463">
        <f t="shared" si="15"/>
        <v>1666.8000000000002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14"/>
        <v>0-12 months</v>
      </c>
      <c r="X464">
        <f t="shared" si="15"/>
        <v>404.6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14"/>
        <v>0-12 months</v>
      </c>
      <c r="X465">
        <f t="shared" si="15"/>
        <v>698.6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14"/>
        <v>49+ months</v>
      </c>
      <c r="X466">
        <f t="shared" si="15"/>
        <v>8355.6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14"/>
        <v>49+ months</v>
      </c>
      <c r="X467">
        <f t="shared" si="15"/>
        <v>2803.5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14"/>
        <v>49+ months</v>
      </c>
      <c r="X468">
        <f t="shared" si="15"/>
        <v>6534.4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14"/>
        <v>49+ months</v>
      </c>
      <c r="X469">
        <f t="shared" si="15"/>
        <v>6458.4000000000005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14"/>
        <v>37-48 months</v>
      </c>
      <c r="X470">
        <f t="shared" si="15"/>
        <v>875.59999999999991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14"/>
        <v>37-48 months</v>
      </c>
      <c r="X471">
        <f t="shared" si="15"/>
        <v>727.35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14"/>
        <v>37-48 months</v>
      </c>
      <c r="X472">
        <f t="shared" si="15"/>
        <v>351.04999999999995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14"/>
        <v>0-12 months</v>
      </c>
      <c r="X473">
        <f t="shared" si="15"/>
        <v>55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14"/>
        <v>0-12 months</v>
      </c>
      <c r="X474">
        <f t="shared" si="15"/>
        <v>630.44999999999993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14"/>
        <v>37-48 months</v>
      </c>
      <c r="X475">
        <f t="shared" si="15"/>
        <v>1286.4000000000001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14"/>
        <v>0-12 months</v>
      </c>
      <c r="X476">
        <f t="shared" si="15"/>
        <v>74.7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14"/>
        <v>37-48 months</v>
      </c>
      <c r="X477">
        <f t="shared" si="15"/>
        <v>1926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14"/>
        <v>37-48 months</v>
      </c>
      <c r="X478">
        <f t="shared" si="15"/>
        <v>2661.75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14"/>
        <v>0-12 months</v>
      </c>
      <c r="X479">
        <f t="shared" si="15"/>
        <v>529.9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14"/>
        <v>0-12 months</v>
      </c>
      <c r="X480">
        <f t="shared" si="15"/>
        <v>480.5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14"/>
        <v>37-48 months</v>
      </c>
      <c r="X481">
        <f t="shared" si="15"/>
        <v>1035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14"/>
        <v>0-12 months</v>
      </c>
      <c r="X482">
        <f t="shared" si="15"/>
        <v>216.14999999999998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14"/>
        <v>37-48 months</v>
      </c>
      <c r="X483">
        <f t="shared" si="15"/>
        <v>2174.3999999999996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14"/>
        <v>37-48 months</v>
      </c>
      <c r="X484">
        <f t="shared" si="15"/>
        <v>1629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14"/>
        <v>49+ months</v>
      </c>
      <c r="X485">
        <f t="shared" si="15"/>
        <v>7812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14"/>
        <v>0-12 months</v>
      </c>
      <c r="X486">
        <f t="shared" si="15"/>
        <v>668.4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14"/>
        <v>49+ months</v>
      </c>
      <c r="X487">
        <f t="shared" si="15"/>
        <v>6084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14"/>
        <v>37-48 months</v>
      </c>
      <c r="X488">
        <f t="shared" si="15"/>
        <v>1502.25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14"/>
        <v>49+ months</v>
      </c>
      <c r="X489">
        <f t="shared" si="15"/>
        <v>6379.2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14"/>
        <v>0-12 months</v>
      </c>
      <c r="X490">
        <f t="shared" si="15"/>
        <v>0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14"/>
        <v>0-12 months</v>
      </c>
      <c r="X491">
        <f t="shared" si="15"/>
        <v>74.349999999999994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14"/>
        <v>49+ months</v>
      </c>
      <c r="X492">
        <f t="shared" si="15"/>
        <v>6602.4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14"/>
        <v>0-12 months</v>
      </c>
      <c r="X493">
        <f t="shared" si="15"/>
        <v>118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14"/>
        <v>0-12 months</v>
      </c>
      <c r="X494">
        <f t="shared" si="15"/>
        <v>148.80000000000001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14"/>
        <v>49+ months</v>
      </c>
      <c r="X495">
        <f t="shared" si="15"/>
        <v>3907.0499999999997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14"/>
        <v>0-12 months</v>
      </c>
      <c r="X496">
        <f t="shared" si="15"/>
        <v>20.399999999999999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14"/>
        <v>37-48 months</v>
      </c>
      <c r="X497">
        <f t="shared" si="15"/>
        <v>962.5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14"/>
        <v>37-48 months</v>
      </c>
      <c r="X498">
        <f t="shared" si="15"/>
        <v>1705.2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14"/>
        <v>49+ months</v>
      </c>
      <c r="X499">
        <f t="shared" si="15"/>
        <v>1386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14"/>
        <v>0-12 months</v>
      </c>
      <c r="X500">
        <f t="shared" si="15"/>
        <v>142.25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14"/>
        <v>0-12 months</v>
      </c>
      <c r="X501">
        <f t="shared" si="15"/>
        <v>1196.4000000000001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14"/>
        <v>37-48 months</v>
      </c>
      <c r="X502">
        <f t="shared" si="15"/>
        <v>3952.5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14"/>
        <v>49+ months</v>
      </c>
      <c r="X503">
        <f t="shared" si="15"/>
        <v>5729.7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14"/>
        <v>49+ months</v>
      </c>
      <c r="X504">
        <f t="shared" si="15"/>
        <v>4564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14"/>
        <v>49+ months</v>
      </c>
      <c r="X505">
        <f t="shared" si="15"/>
        <v>4370.5999999999995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14"/>
        <v>49+ months</v>
      </c>
      <c r="X506">
        <f t="shared" si="15"/>
        <v>5482.05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14"/>
        <v>37-48 months</v>
      </c>
      <c r="X507">
        <f t="shared" si="15"/>
        <v>1882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14"/>
        <v>0-12 months</v>
      </c>
      <c r="X508">
        <f t="shared" si="15"/>
        <v>858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14"/>
        <v>0-12 months</v>
      </c>
      <c r="X509">
        <f t="shared" si="15"/>
        <v>188.4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14"/>
        <v>0-12 months</v>
      </c>
      <c r="X510">
        <f t="shared" si="15"/>
        <v>483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14"/>
        <v>0-12 months</v>
      </c>
      <c r="X511">
        <f t="shared" si="15"/>
        <v>19.850000000000001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14"/>
        <v>37-48 months</v>
      </c>
      <c r="X512">
        <f t="shared" si="15"/>
        <v>1886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14"/>
        <v>49+ months</v>
      </c>
      <c r="X513">
        <f t="shared" si="15"/>
        <v>6493.45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14"/>
        <v>0-12 months</v>
      </c>
      <c r="X514">
        <f t="shared" si="15"/>
        <v>371.75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16">IF(F515&lt;=12,"0-12 months",
IF(A515&lt;=24,"13-24 months",
IF(A515&lt;=36,"25-36 months",
IF(F515&lt;=48,"37-48 months","49+ months"))))</f>
        <v>49+ months</v>
      </c>
      <c r="X515">
        <f t="shared" ref="X515:X578" si="17">S515 * F515</f>
        <v>5905.2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16"/>
        <v>37-48 months</v>
      </c>
      <c r="X516">
        <f t="shared" si="17"/>
        <v>2850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16"/>
        <v>37-48 months</v>
      </c>
      <c r="X517">
        <f t="shared" si="17"/>
        <v>4192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16"/>
        <v>37-48 months</v>
      </c>
      <c r="X518">
        <f t="shared" si="17"/>
        <v>1520.3999999999999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16"/>
        <v>0-12 months</v>
      </c>
      <c r="X519">
        <f t="shared" si="17"/>
        <v>350.25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16"/>
        <v>37-48 months</v>
      </c>
      <c r="X520">
        <f t="shared" si="17"/>
        <v>2030.4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16"/>
        <v>0-12 months</v>
      </c>
      <c r="X521">
        <f t="shared" si="17"/>
        <v>240.60000000000002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16"/>
        <v>49+ months</v>
      </c>
      <c r="X522">
        <f t="shared" si="17"/>
        <v>7061.8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16"/>
        <v>37-48 months</v>
      </c>
      <c r="X523">
        <f t="shared" si="17"/>
        <v>1496.4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16"/>
        <v>49+ months</v>
      </c>
      <c r="X524">
        <f t="shared" si="17"/>
        <v>4702.5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16"/>
        <v>37-48 months</v>
      </c>
      <c r="X525">
        <f t="shared" si="17"/>
        <v>1738.8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16"/>
        <v>37-48 months</v>
      </c>
      <c r="X526">
        <f t="shared" si="17"/>
        <v>3401.7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16"/>
        <v>49+ months</v>
      </c>
      <c r="X527">
        <f t="shared" si="17"/>
        <v>4745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16"/>
        <v>49+ months</v>
      </c>
      <c r="X528">
        <f t="shared" si="17"/>
        <v>8334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16"/>
        <v>49+ months</v>
      </c>
      <c r="X529">
        <f t="shared" si="17"/>
        <v>5492.6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16"/>
        <v>37-48 months</v>
      </c>
      <c r="X530">
        <f t="shared" si="17"/>
        <v>686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16"/>
        <v>49+ months</v>
      </c>
      <c r="X531">
        <f t="shared" si="17"/>
        <v>5594.4000000000005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16"/>
        <v>37-48 months</v>
      </c>
      <c r="X532">
        <f t="shared" si="17"/>
        <v>506.40000000000003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16"/>
        <v>49+ months</v>
      </c>
      <c r="X533">
        <f t="shared" si="17"/>
        <v>1403.5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16"/>
        <v>0-12 months</v>
      </c>
      <c r="X534">
        <f t="shared" si="17"/>
        <v>159.9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16"/>
        <v>49+ months</v>
      </c>
      <c r="X535">
        <f t="shared" si="17"/>
        <v>7286.2000000000007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16"/>
        <v>0-12 months</v>
      </c>
      <c r="X536">
        <f t="shared" si="17"/>
        <v>85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16"/>
        <v>0-12 months</v>
      </c>
      <c r="X537">
        <f t="shared" si="17"/>
        <v>1074.5999999999999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16"/>
        <v>49+ months</v>
      </c>
      <c r="X538">
        <f t="shared" si="17"/>
        <v>5137.6499999999996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16"/>
        <v>37-48 months</v>
      </c>
      <c r="X539">
        <f t="shared" si="17"/>
        <v>1928.8500000000001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16"/>
        <v>49+ months</v>
      </c>
      <c r="X540">
        <f t="shared" si="17"/>
        <v>6599.85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16"/>
        <v>49+ months</v>
      </c>
      <c r="X541">
        <f t="shared" si="17"/>
        <v>4836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16"/>
        <v>49+ months</v>
      </c>
      <c r="X542">
        <f t="shared" si="17"/>
        <v>8143.2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16"/>
        <v>0-12 months</v>
      </c>
      <c r="X543">
        <f t="shared" si="17"/>
        <v>648.45000000000005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16"/>
        <v>0-12 months</v>
      </c>
      <c r="X544">
        <f t="shared" si="17"/>
        <v>19.55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16"/>
        <v>0-12 months</v>
      </c>
      <c r="X545">
        <f t="shared" si="17"/>
        <v>860.5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16"/>
        <v>37-48 months</v>
      </c>
      <c r="X546">
        <f t="shared" si="17"/>
        <v>592.15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16"/>
        <v>37-48 months</v>
      </c>
      <c r="X547">
        <f t="shared" si="17"/>
        <v>2684.3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16"/>
        <v>37-48 months</v>
      </c>
      <c r="X548">
        <f t="shared" si="17"/>
        <v>3365.7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16"/>
        <v>49+ months</v>
      </c>
      <c r="X549">
        <f t="shared" si="17"/>
        <v>6828.25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16"/>
        <v>49+ months</v>
      </c>
      <c r="X550">
        <f t="shared" si="17"/>
        <v>5095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16"/>
        <v>37-48 months</v>
      </c>
      <c r="X551">
        <f t="shared" si="17"/>
        <v>296.25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16"/>
        <v>49+ months</v>
      </c>
      <c r="X552">
        <f t="shared" si="17"/>
        <v>7941.5999999999995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16"/>
        <v>49+ months</v>
      </c>
      <c r="X553">
        <f t="shared" si="17"/>
        <v>8323.1999999999989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16"/>
        <v>49+ months</v>
      </c>
      <c r="X554">
        <f t="shared" si="17"/>
        <v>1064.25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16"/>
        <v>37-48 months</v>
      </c>
      <c r="X555">
        <f t="shared" si="17"/>
        <v>588.80000000000007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16"/>
        <v>37-48 months</v>
      </c>
      <c r="X556">
        <f t="shared" si="17"/>
        <v>2571.1999999999998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16"/>
        <v>49+ months</v>
      </c>
      <c r="X557">
        <f t="shared" si="17"/>
        <v>3850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16"/>
        <v>0-12 months</v>
      </c>
      <c r="X558">
        <f t="shared" si="17"/>
        <v>19.899999999999999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16"/>
        <v>37-48 months</v>
      </c>
      <c r="X559">
        <f t="shared" si="17"/>
        <v>2682.7999999999997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16"/>
        <v>0-12 months</v>
      </c>
      <c r="X560">
        <f t="shared" si="17"/>
        <v>772.2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16"/>
        <v>0-12 months</v>
      </c>
      <c r="X561">
        <f t="shared" si="17"/>
        <v>49.3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16"/>
        <v>49+ months</v>
      </c>
      <c r="X562">
        <f t="shared" si="17"/>
        <v>6006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16"/>
        <v>0-12 months</v>
      </c>
      <c r="X563">
        <f t="shared" si="17"/>
        <v>70.800000000000011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16"/>
        <v>0-12 months</v>
      </c>
      <c r="X564">
        <f t="shared" si="17"/>
        <v>487.90000000000003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16"/>
        <v>49+ months</v>
      </c>
      <c r="X565">
        <f t="shared" si="17"/>
        <v>5870.5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16"/>
        <v>0-12 months</v>
      </c>
      <c r="X566">
        <f t="shared" si="17"/>
        <v>450.09999999999997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16"/>
        <v>49+ months</v>
      </c>
      <c r="X567">
        <f t="shared" si="17"/>
        <v>5030.3499999999995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16"/>
        <v>37-48 months</v>
      </c>
      <c r="X568">
        <f t="shared" si="17"/>
        <v>1528.5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16"/>
        <v>49+ months</v>
      </c>
      <c r="X569">
        <f t="shared" si="17"/>
        <v>5218.5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16"/>
        <v>37-48 months</v>
      </c>
      <c r="X570">
        <f t="shared" si="17"/>
        <v>3508.75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16"/>
        <v>0-12 months</v>
      </c>
      <c r="X571">
        <f t="shared" si="17"/>
        <v>444.4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16"/>
        <v>49+ months</v>
      </c>
      <c r="X572">
        <f t="shared" si="17"/>
        <v>1155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16"/>
        <v>37-48 months</v>
      </c>
      <c r="X573">
        <f t="shared" si="17"/>
        <v>2801.2000000000003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16"/>
        <v>0-12 months</v>
      </c>
      <c r="X574">
        <f t="shared" si="17"/>
        <v>713.90000000000009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16"/>
        <v>49+ months</v>
      </c>
      <c r="X575">
        <f t="shared" si="17"/>
        <v>5616.8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16"/>
        <v>37-48 months</v>
      </c>
      <c r="X576">
        <f t="shared" si="17"/>
        <v>3103.7999999999997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16"/>
        <v>49+ months</v>
      </c>
      <c r="X577">
        <f t="shared" si="17"/>
        <v>4944.05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16"/>
        <v>37-48 months</v>
      </c>
      <c r="X578">
        <f t="shared" si="17"/>
        <v>3039.5499999999997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18">IF(F579&lt;=12,"0-12 months",
IF(A579&lt;=24,"13-24 months",
IF(A579&lt;=36,"25-36 months",
IF(F579&lt;=48,"37-48 months","49+ months"))))</f>
        <v>0-12 months</v>
      </c>
      <c r="X579">
        <f t="shared" ref="X579:X642" si="19">S579 * F579</f>
        <v>634.5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18"/>
        <v>37-48 months</v>
      </c>
      <c r="X580">
        <f t="shared" si="19"/>
        <v>3309.25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18"/>
        <v>0-12 months</v>
      </c>
      <c r="X581">
        <f t="shared" si="19"/>
        <v>39.299999999999997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18"/>
        <v>0-12 months</v>
      </c>
      <c r="X582">
        <f t="shared" si="19"/>
        <v>228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18"/>
        <v>0-12 months</v>
      </c>
      <c r="X583">
        <f t="shared" si="19"/>
        <v>75.3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18"/>
        <v>0-12 months</v>
      </c>
      <c r="X584">
        <f t="shared" si="19"/>
        <v>356.8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18"/>
        <v>0-12 months</v>
      </c>
      <c r="X585">
        <f t="shared" si="19"/>
        <v>19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18"/>
        <v>0-12 months</v>
      </c>
      <c r="X586">
        <f t="shared" si="19"/>
        <v>60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18"/>
        <v>0-12 months</v>
      </c>
      <c r="X587">
        <f t="shared" si="19"/>
        <v>85.7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18"/>
        <v>49+ months</v>
      </c>
      <c r="X588">
        <f t="shared" si="19"/>
        <v>3289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18"/>
        <v>0-12 months</v>
      </c>
      <c r="X589">
        <f t="shared" si="19"/>
        <v>100.5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18"/>
        <v>49+ months</v>
      </c>
      <c r="X590">
        <f t="shared" si="19"/>
        <v>7138.8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18"/>
        <v>49+ months</v>
      </c>
      <c r="X591">
        <f t="shared" si="19"/>
        <v>6418.4000000000005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18"/>
        <v>49+ months</v>
      </c>
      <c r="X592">
        <f t="shared" si="19"/>
        <v>8056.8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18"/>
        <v>37-48 months</v>
      </c>
      <c r="X593">
        <f t="shared" si="19"/>
        <v>1145.3999999999999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18"/>
        <v>49+ months</v>
      </c>
      <c r="X594">
        <f t="shared" si="19"/>
        <v>5260.5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18"/>
        <v>37-48 months</v>
      </c>
      <c r="X595">
        <f t="shared" si="19"/>
        <v>2529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18"/>
        <v>0-12 months</v>
      </c>
      <c r="X596">
        <f t="shared" si="19"/>
        <v>45.6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18"/>
        <v>0-12 months</v>
      </c>
      <c r="X597">
        <f t="shared" si="19"/>
        <v>739.8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18"/>
        <v>37-48 months</v>
      </c>
      <c r="X598">
        <f t="shared" si="19"/>
        <v>877.6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18"/>
        <v>0-12 months</v>
      </c>
      <c r="X599">
        <f t="shared" si="19"/>
        <v>262.2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18"/>
        <v>49+ months</v>
      </c>
      <c r="X600">
        <f t="shared" si="19"/>
        <v>4607.8499999999995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18"/>
        <v>49+ months</v>
      </c>
      <c r="X601">
        <f t="shared" si="19"/>
        <v>1326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18"/>
        <v>37-48 months</v>
      </c>
      <c r="X602">
        <f t="shared" si="19"/>
        <v>1192.8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18"/>
        <v>0-12 months</v>
      </c>
      <c r="X603">
        <f t="shared" si="19"/>
        <v>39.9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18"/>
        <v>49+ months</v>
      </c>
      <c r="X604">
        <f t="shared" si="19"/>
        <v>4900.5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18"/>
        <v>37-48 months</v>
      </c>
      <c r="X605">
        <f t="shared" si="19"/>
        <v>4997.9000000000005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18"/>
        <v>37-48 months</v>
      </c>
      <c r="X606">
        <f t="shared" si="19"/>
        <v>3505.6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18"/>
        <v>49+ months</v>
      </c>
      <c r="X607">
        <f t="shared" si="19"/>
        <v>6238.8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18"/>
        <v>37-48 months</v>
      </c>
      <c r="X608">
        <f t="shared" si="19"/>
        <v>3078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18"/>
        <v>49+ months</v>
      </c>
      <c r="X609">
        <f t="shared" si="19"/>
        <v>2440.35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18"/>
        <v>49+ months</v>
      </c>
      <c r="X610">
        <f t="shared" si="19"/>
        <v>8247.6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18"/>
        <v>49+ months</v>
      </c>
      <c r="X611">
        <f t="shared" si="19"/>
        <v>6841.25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18"/>
        <v>0-12 months</v>
      </c>
      <c r="X612">
        <f t="shared" si="19"/>
        <v>269.55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18"/>
        <v>0-12 months</v>
      </c>
      <c r="X613">
        <f t="shared" si="19"/>
        <v>585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18"/>
        <v>49+ months</v>
      </c>
      <c r="X614">
        <f t="shared" si="19"/>
        <v>1356.3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18"/>
        <v>37-48 months</v>
      </c>
      <c r="X615">
        <f t="shared" si="19"/>
        <v>4831.2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18"/>
        <v>49+ months</v>
      </c>
      <c r="X616">
        <f t="shared" si="19"/>
        <v>3475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18"/>
        <v>37-48 months</v>
      </c>
      <c r="X617">
        <f t="shared" si="19"/>
        <v>732.75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18"/>
        <v>0-12 months</v>
      </c>
      <c r="X618">
        <f t="shared" si="19"/>
        <v>202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18"/>
        <v>49+ months</v>
      </c>
      <c r="X619">
        <f t="shared" si="19"/>
        <v>6788.0999999999995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18"/>
        <v>49+ months</v>
      </c>
      <c r="X620">
        <f t="shared" si="19"/>
        <v>4990.3499999999995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18"/>
        <v>0-12 months</v>
      </c>
      <c r="X621">
        <f t="shared" si="19"/>
        <v>549.85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18"/>
        <v>0-12 months</v>
      </c>
      <c r="X622">
        <f t="shared" si="19"/>
        <v>345.5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18"/>
        <v>49+ months</v>
      </c>
      <c r="X623">
        <f t="shared" si="19"/>
        <v>5707.0999999999995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18"/>
        <v>37-48 months</v>
      </c>
      <c r="X624">
        <f t="shared" si="19"/>
        <v>3402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18"/>
        <v>37-48 months</v>
      </c>
      <c r="X625">
        <f t="shared" si="19"/>
        <v>394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18"/>
        <v>0-12 months</v>
      </c>
      <c r="X626">
        <f t="shared" si="19"/>
        <v>140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18"/>
        <v>37-48 months</v>
      </c>
      <c r="X627">
        <f t="shared" si="19"/>
        <v>2378.75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18"/>
        <v>37-48 months</v>
      </c>
      <c r="X628">
        <f t="shared" si="19"/>
        <v>1937.75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18"/>
        <v>49+ months</v>
      </c>
      <c r="X629">
        <f t="shared" si="19"/>
        <v>6903.5999999999995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18"/>
        <v>49+ months</v>
      </c>
      <c r="X630">
        <f t="shared" si="19"/>
        <v>8038.8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18"/>
        <v>49+ months</v>
      </c>
      <c r="X631">
        <f t="shared" si="19"/>
        <v>4412.45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18"/>
        <v>37-48 months</v>
      </c>
      <c r="X632">
        <f t="shared" si="19"/>
        <v>4762.25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18"/>
        <v>37-48 months</v>
      </c>
      <c r="X633">
        <f t="shared" si="19"/>
        <v>2530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18"/>
        <v>49+ months</v>
      </c>
      <c r="X634">
        <f t="shared" si="19"/>
        <v>6469.2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18"/>
        <v>0-12 months</v>
      </c>
      <c r="X635">
        <f t="shared" si="19"/>
        <v>203.5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18"/>
        <v>37-48 months</v>
      </c>
      <c r="X636">
        <f t="shared" si="19"/>
        <v>2182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18"/>
        <v>49+ months</v>
      </c>
      <c r="X637">
        <f t="shared" si="19"/>
        <v>6857.5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18"/>
        <v>37-48 months</v>
      </c>
      <c r="X638">
        <f t="shared" si="19"/>
        <v>3082.9500000000003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18"/>
        <v>49+ months</v>
      </c>
      <c r="X639">
        <f t="shared" si="19"/>
        <v>4821.2000000000007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18"/>
        <v>49+ months</v>
      </c>
      <c r="X640">
        <f t="shared" si="19"/>
        <v>5854.8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18"/>
        <v>0-12 months</v>
      </c>
      <c r="X641">
        <f t="shared" si="19"/>
        <v>852.5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18"/>
        <v>49+ months</v>
      </c>
      <c r="X642">
        <f t="shared" si="19"/>
        <v>1727.1999999999998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20">IF(F643&lt;=12,"0-12 months",
IF(A643&lt;=24,"13-24 months",
IF(A643&lt;=36,"25-36 months",
IF(F643&lt;=48,"37-48 months","49+ months"))))</f>
        <v>37-48 months</v>
      </c>
      <c r="X643">
        <f t="shared" ref="X643:X706" si="21">S643 * F643</f>
        <v>2414.4499999999998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20"/>
        <v>0-12 months</v>
      </c>
      <c r="X644">
        <f t="shared" si="21"/>
        <v>89.55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20"/>
        <v>49+ months</v>
      </c>
      <c r="X645">
        <f t="shared" si="21"/>
        <v>4402.6499999999996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20"/>
        <v>37-48 months</v>
      </c>
      <c r="X646">
        <f t="shared" si="21"/>
        <v>378.75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20"/>
        <v>37-48 months</v>
      </c>
      <c r="X647">
        <f t="shared" si="21"/>
        <v>1891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20"/>
        <v>0-12 months</v>
      </c>
      <c r="X648">
        <f t="shared" si="21"/>
        <v>45.7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20"/>
        <v>49+ months</v>
      </c>
      <c r="X649">
        <f t="shared" si="21"/>
        <v>3482.5000000000005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20"/>
        <v>0-12 months</v>
      </c>
      <c r="X650">
        <f t="shared" si="21"/>
        <v>179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20"/>
        <v>37-48 months</v>
      </c>
      <c r="X651">
        <f t="shared" si="21"/>
        <v>1680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20"/>
        <v>0-12 months</v>
      </c>
      <c r="X652">
        <f t="shared" si="21"/>
        <v>208.64999999999998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20"/>
        <v>0-12 months</v>
      </c>
      <c r="X653">
        <f t="shared" si="21"/>
        <v>74.599999999999994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20"/>
        <v>37-48 months</v>
      </c>
      <c r="X654">
        <f t="shared" si="21"/>
        <v>703.5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20"/>
        <v>37-48 months</v>
      </c>
      <c r="X655">
        <f t="shared" si="21"/>
        <v>421.6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20"/>
        <v>0-12 months</v>
      </c>
      <c r="X656">
        <f t="shared" si="21"/>
        <v>157.19999999999999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20"/>
        <v>0-12 months</v>
      </c>
      <c r="X657">
        <f t="shared" si="21"/>
        <v>951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20"/>
        <v>49+ months</v>
      </c>
      <c r="X658">
        <f t="shared" si="21"/>
        <v>6041.7999999999993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20"/>
        <v>37-48 months</v>
      </c>
      <c r="X659">
        <f t="shared" si="21"/>
        <v>3546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20"/>
        <v>0-12 months</v>
      </c>
      <c r="X660">
        <f t="shared" si="21"/>
        <v>39.700000000000003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20"/>
        <v>37-48 months</v>
      </c>
      <c r="X661">
        <f t="shared" si="21"/>
        <v>752.95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20"/>
        <v>0-12 months</v>
      </c>
      <c r="X662">
        <f t="shared" si="21"/>
        <v>97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20"/>
        <v>0-12 months</v>
      </c>
      <c r="X663">
        <f t="shared" si="21"/>
        <v>452.5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20"/>
        <v>0-12 months</v>
      </c>
      <c r="X664">
        <f t="shared" si="21"/>
        <v>20.05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20"/>
        <v>49+ months</v>
      </c>
      <c r="X665">
        <f t="shared" si="21"/>
        <v>4520.75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20"/>
        <v>49+ months</v>
      </c>
      <c r="X666">
        <f t="shared" si="21"/>
        <v>1111.5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20"/>
        <v>0-12 months</v>
      </c>
      <c r="X667">
        <f t="shared" si="21"/>
        <v>224.25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20"/>
        <v>0-12 months</v>
      </c>
      <c r="X668">
        <f t="shared" si="21"/>
        <v>139.30000000000001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20"/>
        <v>49+ months</v>
      </c>
      <c r="X669">
        <f t="shared" si="21"/>
        <v>1479.8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20"/>
        <v>0-12 months</v>
      </c>
      <c r="X670">
        <f t="shared" si="21"/>
        <v>182.6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20"/>
        <v>49+ months</v>
      </c>
      <c r="X671">
        <f t="shared" si="21"/>
        <v>4046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20"/>
        <v>49+ months</v>
      </c>
      <c r="X672">
        <f t="shared" si="21"/>
        <v>1052.0500000000002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20"/>
        <v>49+ months</v>
      </c>
      <c r="X673">
        <f t="shared" si="21"/>
        <v>1354.15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20"/>
        <v>0-12 months</v>
      </c>
      <c r="X674">
        <f t="shared" si="21"/>
        <v>75.05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20"/>
        <v>37-48 months</v>
      </c>
      <c r="X675">
        <f t="shared" si="21"/>
        <v>546.70000000000005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20"/>
        <v>49+ months</v>
      </c>
      <c r="X676">
        <f t="shared" si="21"/>
        <v>2555.7999999999997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20"/>
        <v>49+ months</v>
      </c>
      <c r="X677">
        <f t="shared" si="21"/>
        <v>7172.75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20"/>
        <v>37-48 months</v>
      </c>
      <c r="X678">
        <f t="shared" si="21"/>
        <v>1178.4000000000001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20"/>
        <v>0-12 months</v>
      </c>
      <c r="X679">
        <f t="shared" si="21"/>
        <v>69.400000000000006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20"/>
        <v>0-12 months</v>
      </c>
      <c r="X680">
        <f t="shared" si="21"/>
        <v>323.85000000000002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20"/>
        <v>37-48 months</v>
      </c>
      <c r="X681">
        <f t="shared" si="21"/>
        <v>3663.0000000000005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20"/>
        <v>0-12 months</v>
      </c>
      <c r="X682">
        <f t="shared" si="21"/>
        <v>80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20"/>
        <v>49+ months</v>
      </c>
      <c r="X683">
        <f t="shared" si="21"/>
        <v>4501.8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20"/>
        <v>0-12 months</v>
      </c>
      <c r="X684">
        <f t="shared" si="21"/>
        <v>193.20000000000002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20"/>
        <v>37-48 months</v>
      </c>
      <c r="X685">
        <f t="shared" si="21"/>
        <v>4150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20"/>
        <v>0-12 months</v>
      </c>
      <c r="X686">
        <f t="shared" si="21"/>
        <v>71.099999999999994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20"/>
        <v>0-12 months</v>
      </c>
      <c r="X687">
        <f t="shared" si="21"/>
        <v>49.9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20"/>
        <v>49+ months</v>
      </c>
      <c r="X688">
        <f t="shared" si="21"/>
        <v>1254.6000000000001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20"/>
        <v>0-12 months</v>
      </c>
      <c r="X689">
        <f t="shared" si="21"/>
        <v>98.5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20"/>
        <v>49+ months</v>
      </c>
      <c r="X690">
        <f t="shared" si="21"/>
        <v>1565.2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20"/>
        <v>49+ months</v>
      </c>
      <c r="X691">
        <f t="shared" si="21"/>
        <v>4253.4000000000005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20"/>
        <v>0-12 months</v>
      </c>
      <c r="X692">
        <f t="shared" si="21"/>
        <v>20.45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20"/>
        <v>37-48 months</v>
      </c>
      <c r="X693">
        <f t="shared" si="21"/>
        <v>2332.75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20"/>
        <v>37-48 months</v>
      </c>
      <c r="X694">
        <f t="shared" si="21"/>
        <v>965.85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20"/>
        <v>0-12 months</v>
      </c>
      <c r="X695">
        <f t="shared" si="21"/>
        <v>225.29999999999998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20"/>
        <v>37-48 months</v>
      </c>
      <c r="X696">
        <f t="shared" si="21"/>
        <v>441.1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20"/>
        <v>0-12 months</v>
      </c>
      <c r="X697">
        <f t="shared" si="21"/>
        <v>20.65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20"/>
        <v>49+ months</v>
      </c>
      <c r="X698">
        <f t="shared" si="21"/>
        <v>6130.8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20"/>
        <v>0-12 months</v>
      </c>
      <c r="X699">
        <f t="shared" si="21"/>
        <v>150.44999999999999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20"/>
        <v>37-48 months</v>
      </c>
      <c r="X700">
        <f t="shared" si="21"/>
        <v>3992.65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20"/>
        <v>49+ months</v>
      </c>
      <c r="X701">
        <f t="shared" si="21"/>
        <v>4788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20"/>
        <v>49+ months</v>
      </c>
      <c r="X702">
        <f t="shared" si="21"/>
        <v>4177.8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20"/>
        <v>37-48 months</v>
      </c>
      <c r="X703">
        <f t="shared" si="21"/>
        <v>2910.25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20"/>
        <v>37-48 months</v>
      </c>
      <c r="X704">
        <f t="shared" si="21"/>
        <v>2462.1000000000004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20"/>
        <v>0-12 months</v>
      </c>
      <c r="X705">
        <f t="shared" si="21"/>
        <v>41.1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20"/>
        <v>0-12 months</v>
      </c>
      <c r="X706">
        <f t="shared" si="21"/>
        <v>197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22">IF(F707&lt;=12,"0-12 months",
IF(A707&lt;=24,"13-24 months",
IF(A707&lt;=36,"25-36 months",
IF(F707&lt;=48,"37-48 months","49+ months"))))</f>
        <v>37-48 months</v>
      </c>
      <c r="X707">
        <f t="shared" ref="X707:X770" si="23">S707 * F707</f>
        <v>1996.2499999999998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22"/>
        <v>49+ months</v>
      </c>
      <c r="X708">
        <f t="shared" si="23"/>
        <v>3874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22"/>
        <v>37-48 months</v>
      </c>
      <c r="X709">
        <f t="shared" si="23"/>
        <v>2825.55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22"/>
        <v>37-48 months</v>
      </c>
      <c r="X710">
        <f t="shared" si="23"/>
        <v>2183.6999999999998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22"/>
        <v>37-48 months</v>
      </c>
      <c r="X711">
        <f t="shared" si="23"/>
        <v>2322.8999999999996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22"/>
        <v>0-12 months</v>
      </c>
      <c r="X712">
        <f t="shared" si="23"/>
        <v>19.55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22"/>
        <v>37-48 months</v>
      </c>
      <c r="X713">
        <f t="shared" si="23"/>
        <v>1620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22"/>
        <v>49+ months</v>
      </c>
      <c r="X714">
        <f t="shared" si="23"/>
        <v>1432.6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22"/>
        <v>37-48 months</v>
      </c>
      <c r="X715">
        <f t="shared" si="23"/>
        <v>1204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22"/>
        <v>49+ months</v>
      </c>
      <c r="X716">
        <f t="shared" si="23"/>
        <v>1828.8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22"/>
        <v>37-48 months</v>
      </c>
      <c r="X717">
        <f t="shared" si="23"/>
        <v>4100.9000000000005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22"/>
        <v>49+ months</v>
      </c>
      <c r="X718">
        <f t="shared" si="23"/>
        <v>4135.75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22"/>
        <v>37-48 months</v>
      </c>
      <c r="X719">
        <f t="shared" si="23"/>
        <v>2740.8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22"/>
        <v>37-48 months</v>
      </c>
      <c r="X720">
        <f t="shared" si="23"/>
        <v>1309.1000000000001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22"/>
        <v>49+ months</v>
      </c>
      <c r="X721">
        <f t="shared" si="23"/>
        <v>5463.7999999999993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22"/>
        <v>0-12 months</v>
      </c>
      <c r="X722">
        <f t="shared" si="23"/>
        <v>40.4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22"/>
        <v>49+ months</v>
      </c>
      <c r="X723">
        <f t="shared" si="23"/>
        <v>1253.55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22"/>
        <v>0-12 months</v>
      </c>
      <c r="X724">
        <f t="shared" si="23"/>
        <v>343.8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22"/>
        <v>0-12 months</v>
      </c>
      <c r="X725">
        <f t="shared" si="23"/>
        <v>136.05000000000001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22"/>
        <v>37-48 months</v>
      </c>
      <c r="X726">
        <f t="shared" si="23"/>
        <v>3118.5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22"/>
        <v>0-12 months</v>
      </c>
      <c r="X727">
        <f t="shared" si="23"/>
        <v>191.25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22"/>
        <v>37-48 months</v>
      </c>
      <c r="X728">
        <f t="shared" si="23"/>
        <v>577.5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22"/>
        <v>0-12 months</v>
      </c>
      <c r="X729">
        <f t="shared" si="23"/>
        <v>404.25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22"/>
        <v>37-48 months</v>
      </c>
      <c r="X730">
        <f t="shared" si="23"/>
        <v>2751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22"/>
        <v>49+ months</v>
      </c>
      <c r="X731">
        <f t="shared" si="23"/>
        <v>4823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22"/>
        <v>37-48 months</v>
      </c>
      <c r="X732">
        <f t="shared" si="23"/>
        <v>3926.25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22"/>
        <v>0-12 months</v>
      </c>
      <c r="X733">
        <f t="shared" si="23"/>
        <v>101.75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22"/>
        <v>37-48 months</v>
      </c>
      <c r="X734">
        <f t="shared" si="23"/>
        <v>1887.5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22"/>
        <v>49+ months</v>
      </c>
      <c r="X735">
        <f t="shared" si="23"/>
        <v>5691.5999999999995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22"/>
        <v>37-48 months</v>
      </c>
      <c r="X736">
        <f t="shared" si="23"/>
        <v>2434.0500000000002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22"/>
        <v>37-48 months</v>
      </c>
      <c r="X737">
        <f t="shared" si="23"/>
        <v>1619.2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22"/>
        <v>37-48 months</v>
      </c>
      <c r="X738">
        <f t="shared" si="23"/>
        <v>3313.5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22"/>
        <v>49+ months</v>
      </c>
      <c r="X739">
        <f t="shared" si="23"/>
        <v>7070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22"/>
        <v>37-48 months</v>
      </c>
      <c r="X740">
        <f t="shared" si="23"/>
        <v>3332.7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22"/>
        <v>49+ months</v>
      </c>
      <c r="X741">
        <f t="shared" si="23"/>
        <v>6469.2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22"/>
        <v>37-48 months</v>
      </c>
      <c r="X742">
        <f t="shared" si="23"/>
        <v>3055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22"/>
        <v>0-12 months</v>
      </c>
      <c r="X743">
        <f t="shared" si="23"/>
        <v>160.9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22"/>
        <v>0-12 months</v>
      </c>
      <c r="X744">
        <f t="shared" si="23"/>
        <v>985.5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22"/>
        <v>49+ months</v>
      </c>
      <c r="X745">
        <f t="shared" si="23"/>
        <v>1470.1000000000001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22"/>
        <v>0-12 months</v>
      </c>
      <c r="X746">
        <f t="shared" si="23"/>
        <v>220.25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22"/>
        <v>49+ months</v>
      </c>
      <c r="X747">
        <f t="shared" si="23"/>
        <v>7977.5999999999995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22"/>
        <v>49+ months</v>
      </c>
      <c r="X748">
        <f t="shared" si="23"/>
        <v>8276.4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22"/>
        <v>0-12 months</v>
      </c>
      <c r="X749">
        <f t="shared" si="23"/>
        <v>225.14999999999998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22"/>
        <v>37-48 months</v>
      </c>
      <c r="X750">
        <f t="shared" si="23"/>
        <v>924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22"/>
        <v>49+ months</v>
      </c>
      <c r="X751">
        <f t="shared" si="23"/>
        <v>5673.15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22"/>
        <v>37-48 months</v>
      </c>
      <c r="X752">
        <f t="shared" si="23"/>
        <v>1530.9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22"/>
        <v>49+ months</v>
      </c>
      <c r="X753">
        <f t="shared" si="23"/>
        <v>5610.5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22"/>
        <v>0-12 months</v>
      </c>
      <c r="X754">
        <f t="shared" si="23"/>
        <v>499.44999999999993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22"/>
        <v>0-12 months</v>
      </c>
      <c r="X755">
        <f t="shared" si="23"/>
        <v>0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22"/>
        <v>0-12 months</v>
      </c>
      <c r="X756">
        <f t="shared" si="23"/>
        <v>180.7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22"/>
        <v>37-48 months</v>
      </c>
      <c r="X757">
        <f t="shared" si="23"/>
        <v>1971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22"/>
        <v>49+ months</v>
      </c>
      <c r="X758">
        <f t="shared" si="23"/>
        <v>1300.2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22"/>
        <v>0-12 months</v>
      </c>
      <c r="X759">
        <f t="shared" si="23"/>
        <v>59.550000000000004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22"/>
        <v>37-48 months</v>
      </c>
      <c r="X760">
        <f t="shared" si="23"/>
        <v>1288.5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22"/>
        <v>49+ months</v>
      </c>
      <c r="X761">
        <f t="shared" si="23"/>
        <v>6505.2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22"/>
        <v>0-12 months</v>
      </c>
      <c r="X762">
        <f t="shared" si="23"/>
        <v>20.8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22"/>
        <v>37-48 months</v>
      </c>
      <c r="X763">
        <f t="shared" si="23"/>
        <v>1963.5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22"/>
        <v>0-12 months</v>
      </c>
      <c r="X764">
        <f t="shared" si="23"/>
        <v>210.89999999999998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22"/>
        <v>49+ months</v>
      </c>
      <c r="X765">
        <f t="shared" si="23"/>
        <v>4813.2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22"/>
        <v>49+ months</v>
      </c>
      <c r="X766">
        <f t="shared" si="23"/>
        <v>1293.5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22"/>
        <v>0-12 months</v>
      </c>
      <c r="X767">
        <f t="shared" si="23"/>
        <v>393.79999999999995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22"/>
        <v>37-48 months</v>
      </c>
      <c r="X768">
        <f t="shared" si="23"/>
        <v>1734.6999999999998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22"/>
        <v>37-48 months</v>
      </c>
      <c r="X769">
        <f t="shared" si="23"/>
        <v>285.59999999999997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22"/>
        <v>37-48 months</v>
      </c>
      <c r="X770">
        <f t="shared" si="23"/>
        <v>3044.25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24">IF(F771&lt;=12,"0-12 months",
IF(A771&lt;=24,"13-24 months",
IF(A771&lt;=36,"25-36 months",
IF(F771&lt;=48,"37-48 months","49+ months"))))</f>
        <v>37-48 months</v>
      </c>
      <c r="X771">
        <f t="shared" ref="X771:X834" si="25">S771 * F771</f>
        <v>1101.5999999999999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24"/>
        <v>0-12 months</v>
      </c>
      <c r="X772">
        <f t="shared" si="25"/>
        <v>224.95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24"/>
        <v>37-48 months</v>
      </c>
      <c r="X773">
        <f t="shared" si="25"/>
        <v>1400.25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24"/>
        <v>0-12 months</v>
      </c>
      <c r="X774">
        <f t="shared" si="25"/>
        <v>19.899999999999999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24"/>
        <v>0-12 months</v>
      </c>
      <c r="X775">
        <f t="shared" si="25"/>
        <v>444.5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24"/>
        <v>37-48 months</v>
      </c>
      <c r="X776">
        <f t="shared" si="25"/>
        <v>3161.4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24"/>
        <v>49+ months</v>
      </c>
      <c r="X777">
        <f t="shared" si="25"/>
        <v>7966.8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24"/>
        <v>0-12 months</v>
      </c>
      <c r="X778">
        <f t="shared" si="25"/>
        <v>120.89999999999999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24"/>
        <v>0-12 months</v>
      </c>
      <c r="X779">
        <f t="shared" si="25"/>
        <v>164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24"/>
        <v>49+ months</v>
      </c>
      <c r="X780">
        <f t="shared" si="25"/>
        <v>6313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24"/>
        <v>0-12 months</v>
      </c>
      <c r="X781">
        <f t="shared" si="25"/>
        <v>90.7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24"/>
        <v>49+ months</v>
      </c>
      <c r="X782">
        <f t="shared" si="25"/>
        <v>5207.8499999999995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24"/>
        <v>0-12 months</v>
      </c>
      <c r="X783">
        <f t="shared" si="25"/>
        <v>224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24"/>
        <v>37-48 months</v>
      </c>
      <c r="X784">
        <f t="shared" si="25"/>
        <v>1478.25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24"/>
        <v>0-12 months</v>
      </c>
      <c r="X785">
        <f t="shared" si="25"/>
        <v>52.2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24"/>
        <v>49+ months</v>
      </c>
      <c r="X786">
        <f t="shared" si="25"/>
        <v>2557.8000000000002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24"/>
        <v>37-48 months</v>
      </c>
      <c r="X787">
        <f t="shared" si="25"/>
        <v>5060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24"/>
        <v>49+ months</v>
      </c>
      <c r="X788">
        <f t="shared" si="25"/>
        <v>3981.6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24"/>
        <v>37-48 months</v>
      </c>
      <c r="X789">
        <f t="shared" si="25"/>
        <v>2068.9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24"/>
        <v>37-48 months</v>
      </c>
      <c r="X790">
        <f t="shared" si="25"/>
        <v>1881.6000000000001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24"/>
        <v>49+ months</v>
      </c>
      <c r="X791">
        <f t="shared" si="25"/>
        <v>5014.8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24"/>
        <v>49+ months</v>
      </c>
      <c r="X792">
        <f t="shared" si="25"/>
        <v>3591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24"/>
        <v>49+ months</v>
      </c>
      <c r="X793">
        <f t="shared" si="25"/>
        <v>5229.2000000000007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24"/>
        <v>0-12 months</v>
      </c>
      <c r="X794">
        <f t="shared" si="25"/>
        <v>158.80000000000001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24"/>
        <v>37-48 months</v>
      </c>
      <c r="X795">
        <f t="shared" si="25"/>
        <v>2300.1000000000004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24"/>
        <v>0-12 months</v>
      </c>
      <c r="X796">
        <f t="shared" si="25"/>
        <v>270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24"/>
        <v>0-12 months</v>
      </c>
      <c r="X797">
        <f t="shared" si="25"/>
        <v>128.4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24"/>
        <v>37-48 months</v>
      </c>
      <c r="X798">
        <f t="shared" si="25"/>
        <v>2532.7000000000003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24"/>
        <v>37-48 months</v>
      </c>
      <c r="X799">
        <f t="shared" si="25"/>
        <v>511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24"/>
        <v>0-12 months</v>
      </c>
      <c r="X800">
        <f t="shared" si="25"/>
        <v>20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24"/>
        <v>49+ months</v>
      </c>
      <c r="X801">
        <f t="shared" si="25"/>
        <v>5998.5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24"/>
        <v>49+ months</v>
      </c>
      <c r="X802">
        <f t="shared" si="25"/>
        <v>5295.5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24"/>
        <v>0-12 months</v>
      </c>
      <c r="X803">
        <f t="shared" si="25"/>
        <v>985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24"/>
        <v>37-48 months</v>
      </c>
      <c r="X804">
        <f t="shared" si="25"/>
        <v>928.2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24"/>
        <v>37-48 months</v>
      </c>
      <c r="X805">
        <f t="shared" si="25"/>
        <v>2953.2000000000003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24"/>
        <v>0-12 months</v>
      </c>
      <c r="X806">
        <f t="shared" si="25"/>
        <v>512.09999999999991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24"/>
        <v>49+ months</v>
      </c>
      <c r="X807">
        <f t="shared" si="25"/>
        <v>5529.5999999999995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24"/>
        <v>37-48 months</v>
      </c>
      <c r="X808">
        <f t="shared" si="25"/>
        <v>993.6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24"/>
        <v>49+ months</v>
      </c>
      <c r="X809">
        <f t="shared" si="25"/>
        <v>7707.05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24"/>
        <v>37-48 months</v>
      </c>
      <c r="X810">
        <f t="shared" si="25"/>
        <v>4052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24"/>
        <v>0-12 months</v>
      </c>
      <c r="X811">
        <f t="shared" si="25"/>
        <v>69.55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24"/>
        <v>49+ months</v>
      </c>
      <c r="X812">
        <f t="shared" si="25"/>
        <v>5988.5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24"/>
        <v>49+ months</v>
      </c>
      <c r="X813">
        <f t="shared" si="25"/>
        <v>7280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24"/>
        <v>37-48 months</v>
      </c>
      <c r="X814">
        <f t="shared" si="25"/>
        <v>1060.5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24"/>
        <v>37-48 months</v>
      </c>
      <c r="X815">
        <f t="shared" si="25"/>
        <v>1033.5999999999999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24"/>
        <v>0-12 months</v>
      </c>
      <c r="X816">
        <f t="shared" si="25"/>
        <v>100.25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24"/>
        <v>37-48 months</v>
      </c>
      <c r="X817">
        <f t="shared" si="25"/>
        <v>2115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24"/>
        <v>0-12 months</v>
      </c>
      <c r="X818">
        <f t="shared" si="25"/>
        <v>172.4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24"/>
        <v>49+ months</v>
      </c>
      <c r="X819">
        <f t="shared" si="25"/>
        <v>5703.5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24"/>
        <v>37-48 months</v>
      </c>
      <c r="X820">
        <f t="shared" si="25"/>
        <v>2335.2000000000003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24"/>
        <v>49+ months</v>
      </c>
      <c r="X821">
        <f t="shared" si="25"/>
        <v>6160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24"/>
        <v>49+ months</v>
      </c>
      <c r="X822">
        <f t="shared" si="25"/>
        <v>6487.3499999999995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24"/>
        <v>37-48 months</v>
      </c>
      <c r="X823">
        <f t="shared" si="25"/>
        <v>3403.4500000000003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24"/>
        <v>37-48 months</v>
      </c>
      <c r="X824">
        <f t="shared" si="25"/>
        <v>4845.7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24"/>
        <v>0-12 months</v>
      </c>
      <c r="X825">
        <f t="shared" si="25"/>
        <v>319.75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24"/>
        <v>49+ months</v>
      </c>
      <c r="X826">
        <f t="shared" si="25"/>
        <v>1599.6000000000001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24"/>
        <v>37-48 months</v>
      </c>
      <c r="X827">
        <f t="shared" si="25"/>
        <v>1431.2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24"/>
        <v>0-12 months</v>
      </c>
      <c r="X828">
        <f t="shared" si="25"/>
        <v>669.19999999999993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24"/>
        <v>37-48 months</v>
      </c>
      <c r="X829">
        <f t="shared" si="25"/>
        <v>357.7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24"/>
        <v>49+ months</v>
      </c>
      <c r="X830">
        <f t="shared" si="25"/>
        <v>5457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24"/>
        <v>37-48 months</v>
      </c>
      <c r="X831">
        <f t="shared" si="25"/>
        <v>1524.9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24"/>
        <v>49+ months</v>
      </c>
      <c r="X832">
        <f t="shared" si="25"/>
        <v>5427.5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24"/>
        <v>37-48 months</v>
      </c>
      <c r="X833">
        <f t="shared" si="25"/>
        <v>951.9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24"/>
        <v>49+ months</v>
      </c>
      <c r="X834">
        <f t="shared" si="25"/>
        <v>5187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26">IF(F835&lt;=12,"0-12 months",
IF(A835&lt;=24,"13-24 months",
IF(A835&lt;=36,"25-36 months",
IF(F835&lt;=48,"37-48 months","49+ months"))))</f>
        <v>37-48 months</v>
      </c>
      <c r="X835">
        <f t="shared" ref="X835:X898" si="27">S835 * F835</f>
        <v>3285.6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26"/>
        <v>0-12 months</v>
      </c>
      <c r="X836">
        <f t="shared" si="27"/>
        <v>315.39999999999998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26"/>
        <v>49+ months</v>
      </c>
      <c r="X837">
        <f t="shared" si="27"/>
        <v>5595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26"/>
        <v>49+ months</v>
      </c>
      <c r="X838">
        <f t="shared" si="27"/>
        <v>4426.8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26"/>
        <v>0-12 months</v>
      </c>
      <c r="X839">
        <f t="shared" si="27"/>
        <v>44.4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26"/>
        <v>37-48 months</v>
      </c>
      <c r="X840">
        <f t="shared" si="27"/>
        <v>2851.2000000000003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26"/>
        <v>37-48 months</v>
      </c>
      <c r="X841">
        <f t="shared" si="27"/>
        <v>897.59999999999991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26"/>
        <v>49+ months</v>
      </c>
      <c r="X842">
        <f t="shared" si="27"/>
        <v>5500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26"/>
        <v>49+ months</v>
      </c>
      <c r="X843">
        <f t="shared" si="27"/>
        <v>7560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26"/>
        <v>0-12 months</v>
      </c>
      <c r="X844">
        <f t="shared" si="27"/>
        <v>237.60000000000002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26"/>
        <v>37-48 months</v>
      </c>
      <c r="X845">
        <f t="shared" si="27"/>
        <v>401.05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26"/>
        <v>0-12 months</v>
      </c>
      <c r="X846">
        <f t="shared" si="27"/>
        <v>89.9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26"/>
        <v>37-48 months</v>
      </c>
      <c r="X847">
        <f t="shared" si="27"/>
        <v>308.25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26"/>
        <v>49+ months</v>
      </c>
      <c r="X848">
        <f t="shared" si="27"/>
        <v>5515.25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26"/>
        <v>0-12 months</v>
      </c>
      <c r="X849">
        <f t="shared" si="27"/>
        <v>397.79999999999995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26"/>
        <v>49+ months</v>
      </c>
      <c r="X850">
        <f t="shared" si="27"/>
        <v>6624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26"/>
        <v>49+ months</v>
      </c>
      <c r="X851">
        <f t="shared" si="27"/>
        <v>6465.5999999999995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26"/>
        <v>49+ months</v>
      </c>
      <c r="X852">
        <f t="shared" si="27"/>
        <v>8337.6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26"/>
        <v>49+ months</v>
      </c>
      <c r="X853">
        <f t="shared" si="27"/>
        <v>4427.8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26"/>
        <v>0-12 months</v>
      </c>
      <c r="X854">
        <f t="shared" si="27"/>
        <v>49.7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26"/>
        <v>0-12 months</v>
      </c>
      <c r="X855">
        <f t="shared" si="27"/>
        <v>321.75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26"/>
        <v>49+ months</v>
      </c>
      <c r="X856">
        <f t="shared" si="27"/>
        <v>1394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26"/>
        <v>49+ months</v>
      </c>
      <c r="X857">
        <f t="shared" si="27"/>
        <v>6209.3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26"/>
        <v>49+ months</v>
      </c>
      <c r="X858">
        <f t="shared" si="27"/>
        <v>6195.5999999999995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26"/>
        <v>0-12 months</v>
      </c>
      <c r="X859">
        <f t="shared" si="27"/>
        <v>50.8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26"/>
        <v>49+ months</v>
      </c>
      <c r="X860">
        <f t="shared" si="27"/>
        <v>5874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26"/>
        <v>49+ months</v>
      </c>
      <c r="X861">
        <f t="shared" si="27"/>
        <v>4665.5999999999995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26"/>
        <v>37-48 months</v>
      </c>
      <c r="X862">
        <f t="shared" si="27"/>
        <v>514.80000000000007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26"/>
        <v>49+ months</v>
      </c>
      <c r="X863">
        <f t="shared" si="27"/>
        <v>5977.6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26"/>
        <v>37-48 months</v>
      </c>
      <c r="X864">
        <f t="shared" si="27"/>
        <v>1473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26"/>
        <v>0-12 months</v>
      </c>
      <c r="X865">
        <f t="shared" si="27"/>
        <v>285.29999999999995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26"/>
        <v>37-48 months</v>
      </c>
      <c r="X866">
        <f t="shared" si="27"/>
        <v>2082.3000000000002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26"/>
        <v>0-12 months</v>
      </c>
      <c r="X867">
        <f t="shared" si="27"/>
        <v>322.39999999999998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26"/>
        <v>49+ months</v>
      </c>
      <c r="X868">
        <f t="shared" si="27"/>
        <v>2418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26"/>
        <v>0-12 months</v>
      </c>
      <c r="X869">
        <f t="shared" si="27"/>
        <v>102.5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26"/>
        <v>49+ months</v>
      </c>
      <c r="X870">
        <f t="shared" si="27"/>
        <v>5047.45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26"/>
        <v>0-12 months</v>
      </c>
      <c r="X871">
        <f t="shared" si="27"/>
        <v>79.199999999999989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26"/>
        <v>49+ months</v>
      </c>
      <c r="X872">
        <f t="shared" si="27"/>
        <v>7070.4000000000005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26"/>
        <v>49+ months</v>
      </c>
      <c r="X873">
        <f t="shared" si="27"/>
        <v>5560.3499999999995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26"/>
        <v>49+ months</v>
      </c>
      <c r="X874">
        <f t="shared" si="27"/>
        <v>1316.7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26"/>
        <v>49+ months</v>
      </c>
      <c r="X875">
        <f t="shared" si="27"/>
        <v>3048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26"/>
        <v>37-48 months</v>
      </c>
      <c r="X876">
        <f t="shared" si="27"/>
        <v>4486.5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26"/>
        <v>0-12 months</v>
      </c>
      <c r="X877">
        <f t="shared" si="27"/>
        <v>104.39999999999999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26"/>
        <v>37-48 months</v>
      </c>
      <c r="X878">
        <f t="shared" si="27"/>
        <v>1576.5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26"/>
        <v>49+ months</v>
      </c>
      <c r="X879">
        <f t="shared" si="27"/>
        <v>3067.65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26"/>
        <v>49+ months</v>
      </c>
      <c r="X880">
        <f t="shared" si="27"/>
        <v>3885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26"/>
        <v>37-48 months</v>
      </c>
      <c r="X881">
        <f t="shared" si="27"/>
        <v>1803.45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26"/>
        <v>0-12 months</v>
      </c>
      <c r="X882">
        <f t="shared" si="27"/>
        <v>1101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26"/>
        <v>37-48 months</v>
      </c>
      <c r="X883">
        <f t="shared" si="27"/>
        <v>501.8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26"/>
        <v>0-12 months</v>
      </c>
      <c r="X884">
        <f t="shared" si="27"/>
        <v>503.40000000000003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26"/>
        <v>49+ months</v>
      </c>
      <c r="X885">
        <f t="shared" si="27"/>
        <v>7453.75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26"/>
        <v>49+ months</v>
      </c>
      <c r="X886">
        <f t="shared" si="27"/>
        <v>1754.1999999999998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26"/>
        <v>0-12 months</v>
      </c>
      <c r="X887">
        <f t="shared" si="27"/>
        <v>20.05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26"/>
        <v>0-12 months</v>
      </c>
      <c r="X888">
        <f t="shared" si="27"/>
        <v>590.44999999999993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26"/>
        <v>37-48 months</v>
      </c>
      <c r="X889">
        <f t="shared" si="27"/>
        <v>2983.5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26"/>
        <v>37-48 months</v>
      </c>
      <c r="X890">
        <f t="shared" si="27"/>
        <v>3374.4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26"/>
        <v>49+ months</v>
      </c>
      <c r="X891">
        <f t="shared" si="27"/>
        <v>6334.65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26"/>
        <v>37-48 months</v>
      </c>
      <c r="X892">
        <f t="shared" si="27"/>
        <v>2768.2999999999997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26"/>
        <v>49+ months</v>
      </c>
      <c r="X893">
        <f t="shared" si="27"/>
        <v>5192.5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26"/>
        <v>37-48 months</v>
      </c>
      <c r="X894">
        <f t="shared" si="27"/>
        <v>2595.1999999999998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26"/>
        <v>0-12 months</v>
      </c>
      <c r="X895">
        <f t="shared" si="27"/>
        <v>24.6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26"/>
        <v>49+ months</v>
      </c>
      <c r="X896">
        <f t="shared" si="27"/>
        <v>5115.6000000000004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26"/>
        <v>37-48 months</v>
      </c>
      <c r="X897">
        <f t="shared" si="27"/>
        <v>2829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26"/>
        <v>49+ months</v>
      </c>
      <c r="X898">
        <f t="shared" si="27"/>
        <v>8243.1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28">IF(F899&lt;=12,"0-12 months",
IF(A899&lt;=24,"13-24 months",
IF(A899&lt;=36,"25-36 months",
IF(F899&lt;=48,"37-48 months","49+ months"))))</f>
        <v>49+ months</v>
      </c>
      <c r="X899">
        <f t="shared" ref="X899:X962" si="29">S899 * F899</f>
        <v>5594.15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28"/>
        <v>0-12 months</v>
      </c>
      <c r="X900">
        <f t="shared" si="29"/>
        <v>1186.8000000000002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28"/>
        <v>49+ months</v>
      </c>
      <c r="X901">
        <f t="shared" si="29"/>
        <v>4720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28"/>
        <v>0-12 months</v>
      </c>
      <c r="X902">
        <f t="shared" si="29"/>
        <v>39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28"/>
        <v>0-12 months</v>
      </c>
      <c r="X903">
        <f t="shared" si="29"/>
        <v>884.69999999999993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28"/>
        <v>37-48 months</v>
      </c>
      <c r="X904">
        <f t="shared" si="29"/>
        <v>1595.4499999999998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28"/>
        <v>49+ months</v>
      </c>
      <c r="X905">
        <f t="shared" si="29"/>
        <v>5913.5999999999995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28"/>
        <v>49+ months</v>
      </c>
      <c r="X906">
        <f t="shared" si="29"/>
        <v>5450.45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28"/>
        <v>0-12 months</v>
      </c>
      <c r="X907">
        <f t="shared" si="29"/>
        <v>904.5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28"/>
        <v>0-12 months</v>
      </c>
      <c r="X908">
        <f t="shared" si="29"/>
        <v>225.6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28"/>
        <v>37-48 months</v>
      </c>
      <c r="X909">
        <f t="shared" si="29"/>
        <v>1241.6499999999999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28"/>
        <v>0-12 months</v>
      </c>
      <c r="X910">
        <f t="shared" si="29"/>
        <v>159.6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28"/>
        <v>49+ months</v>
      </c>
      <c r="X911">
        <f t="shared" si="29"/>
        <v>7898.75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28"/>
        <v>0-12 months</v>
      </c>
      <c r="X912">
        <f t="shared" si="29"/>
        <v>728.5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28"/>
        <v>37-48 months</v>
      </c>
      <c r="X913">
        <f t="shared" si="29"/>
        <v>1335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28"/>
        <v>49+ months</v>
      </c>
      <c r="X914">
        <f t="shared" si="29"/>
        <v>7639.2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28"/>
        <v>0-12 months</v>
      </c>
      <c r="X915">
        <f t="shared" si="29"/>
        <v>240.60000000000002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28"/>
        <v>49+ months</v>
      </c>
      <c r="X916">
        <f t="shared" si="29"/>
        <v>1814.3999999999999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28"/>
        <v>0-12 months</v>
      </c>
      <c r="X917">
        <f t="shared" si="29"/>
        <v>73.55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28"/>
        <v>37-48 months</v>
      </c>
      <c r="X918">
        <f t="shared" si="29"/>
        <v>1734.2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28"/>
        <v>49+ months</v>
      </c>
      <c r="X919">
        <f t="shared" si="29"/>
        <v>4719.5999999999995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28"/>
        <v>37-48 months</v>
      </c>
      <c r="X920">
        <f t="shared" si="29"/>
        <v>2098.2000000000003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28"/>
        <v>37-48 months</v>
      </c>
      <c r="X921">
        <f t="shared" si="29"/>
        <v>2195.5499999999997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28"/>
        <v>49+ months</v>
      </c>
      <c r="X922">
        <f t="shared" si="29"/>
        <v>1449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28"/>
        <v>0-12 months</v>
      </c>
      <c r="X923">
        <f t="shared" si="29"/>
        <v>245.39999999999998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28"/>
        <v>37-48 months</v>
      </c>
      <c r="X924">
        <f t="shared" si="29"/>
        <v>1206.4000000000001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28"/>
        <v>49+ months</v>
      </c>
      <c r="X925">
        <f t="shared" si="29"/>
        <v>5021.1000000000004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28"/>
        <v>37-48 months</v>
      </c>
      <c r="X926">
        <f t="shared" si="29"/>
        <v>1797.4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28"/>
        <v>37-48 months</v>
      </c>
      <c r="X927">
        <f t="shared" si="29"/>
        <v>2441.6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28"/>
        <v>0-12 months</v>
      </c>
      <c r="X928">
        <f t="shared" si="29"/>
        <v>238.20000000000002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28"/>
        <v>37-48 months</v>
      </c>
      <c r="X929">
        <f t="shared" si="29"/>
        <v>1054.95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28"/>
        <v>49+ months</v>
      </c>
      <c r="X930">
        <f t="shared" si="29"/>
        <v>7055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28"/>
        <v>37-48 months</v>
      </c>
      <c r="X931">
        <f t="shared" si="29"/>
        <v>2593.5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28"/>
        <v>37-48 months</v>
      </c>
      <c r="X932">
        <f t="shared" si="29"/>
        <v>1201.5999999999999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28"/>
        <v>37-48 months</v>
      </c>
      <c r="X933">
        <f t="shared" si="29"/>
        <v>2659.7999999999997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28"/>
        <v>49+ months</v>
      </c>
      <c r="X934">
        <f t="shared" si="29"/>
        <v>1389.6000000000001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28"/>
        <v>0-12 months</v>
      </c>
      <c r="X935">
        <f t="shared" si="29"/>
        <v>338.4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28"/>
        <v>0-12 months</v>
      </c>
      <c r="X936">
        <f t="shared" si="29"/>
        <v>403.20000000000005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28"/>
        <v>0-12 months</v>
      </c>
      <c r="X937">
        <f t="shared" si="29"/>
        <v>333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28"/>
        <v>0-12 months</v>
      </c>
      <c r="X938">
        <f t="shared" si="29"/>
        <v>0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28"/>
        <v>0-12 months</v>
      </c>
      <c r="X939">
        <f t="shared" si="29"/>
        <v>474.29999999999995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28"/>
        <v>49+ months</v>
      </c>
      <c r="X940">
        <f t="shared" si="29"/>
        <v>7023.25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28"/>
        <v>37-48 months</v>
      </c>
      <c r="X941">
        <f t="shared" si="29"/>
        <v>298.5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28"/>
        <v>37-48 months</v>
      </c>
      <c r="X942">
        <f t="shared" si="29"/>
        <v>505.20000000000005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28"/>
        <v>37-48 months</v>
      </c>
      <c r="X943">
        <f t="shared" si="29"/>
        <v>391.95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28"/>
        <v>37-48 months</v>
      </c>
      <c r="X944">
        <f t="shared" si="29"/>
        <v>1916.3999999999999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28"/>
        <v>49+ months</v>
      </c>
      <c r="X945">
        <f t="shared" si="29"/>
        <v>4716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28"/>
        <v>49+ months</v>
      </c>
      <c r="X946">
        <f t="shared" si="29"/>
        <v>5621.4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28"/>
        <v>0-12 months</v>
      </c>
      <c r="X947">
        <f t="shared" si="29"/>
        <v>223.20000000000002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28"/>
        <v>0-12 months</v>
      </c>
      <c r="X948">
        <f t="shared" si="29"/>
        <v>82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28"/>
        <v>37-48 months</v>
      </c>
      <c r="X949">
        <f t="shared" si="29"/>
        <v>2923.2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28"/>
        <v>37-48 months</v>
      </c>
      <c r="X950">
        <f t="shared" si="29"/>
        <v>3466.75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28"/>
        <v>37-48 months</v>
      </c>
      <c r="X951">
        <f t="shared" si="29"/>
        <v>717.5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28"/>
        <v>0-12 months</v>
      </c>
      <c r="X952">
        <f t="shared" si="29"/>
        <v>89.9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28"/>
        <v>0-12 months</v>
      </c>
      <c r="X953">
        <f t="shared" si="29"/>
        <v>604.79999999999995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28"/>
        <v>37-48 months</v>
      </c>
      <c r="X954">
        <f t="shared" si="29"/>
        <v>1212.2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28"/>
        <v>37-48 months</v>
      </c>
      <c r="X955">
        <f t="shared" si="29"/>
        <v>884.25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28"/>
        <v>37-48 months</v>
      </c>
      <c r="X956">
        <f t="shared" si="29"/>
        <v>2092.1999999999998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28"/>
        <v>0-12 months</v>
      </c>
      <c r="X957">
        <f t="shared" si="29"/>
        <v>44.7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28"/>
        <v>49+ months</v>
      </c>
      <c r="X958">
        <f t="shared" si="29"/>
        <v>1806.95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28"/>
        <v>0-12 months</v>
      </c>
      <c r="X959">
        <f t="shared" si="29"/>
        <v>227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28"/>
        <v>37-48 months</v>
      </c>
      <c r="X960">
        <f t="shared" si="29"/>
        <v>2043.75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28"/>
        <v>37-48 months</v>
      </c>
      <c r="X961">
        <f t="shared" si="29"/>
        <v>2755.2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28"/>
        <v>0-12 months</v>
      </c>
      <c r="X962">
        <f t="shared" si="29"/>
        <v>208.6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30">IF(F963&lt;=12,"0-12 months",
IF(A963&lt;=24,"13-24 months",
IF(A963&lt;=36,"25-36 months",
IF(F963&lt;=48,"37-48 months","49+ months"))))</f>
        <v>37-48 months</v>
      </c>
      <c r="X963">
        <f t="shared" ref="X963:X1026" si="31">S963 * F963</f>
        <v>348.5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30"/>
        <v>0-12 months</v>
      </c>
      <c r="X964">
        <f t="shared" si="31"/>
        <v>487.2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30"/>
        <v>49+ months</v>
      </c>
      <c r="X965">
        <f t="shared" si="31"/>
        <v>4102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30"/>
        <v>0-12 months</v>
      </c>
      <c r="X966">
        <f t="shared" si="31"/>
        <v>45.7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30"/>
        <v>0-12 months</v>
      </c>
      <c r="X967">
        <f t="shared" si="31"/>
        <v>802.4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30"/>
        <v>0-12 months</v>
      </c>
      <c r="X968">
        <f t="shared" si="31"/>
        <v>134.75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30"/>
        <v>0-12 months</v>
      </c>
      <c r="X969">
        <f t="shared" si="31"/>
        <v>62.550000000000004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30"/>
        <v>49+ months</v>
      </c>
      <c r="X970">
        <f t="shared" si="31"/>
        <v>5491.8499999999995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30"/>
        <v>0-12 months</v>
      </c>
      <c r="X971">
        <f t="shared" si="31"/>
        <v>192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30"/>
        <v>0-12 months</v>
      </c>
      <c r="X972">
        <f t="shared" si="31"/>
        <v>90.55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30"/>
        <v>49+ months</v>
      </c>
      <c r="X973">
        <f t="shared" si="31"/>
        <v>4598.6499999999996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30"/>
        <v>49+ months</v>
      </c>
      <c r="X974">
        <f t="shared" si="31"/>
        <v>4065.7999999999997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30"/>
        <v>37-48 months</v>
      </c>
      <c r="X975">
        <f t="shared" si="31"/>
        <v>1335.4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30"/>
        <v>49+ months</v>
      </c>
      <c r="X976">
        <f t="shared" si="31"/>
        <v>4481.05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30"/>
        <v>49+ months</v>
      </c>
      <c r="X977">
        <f t="shared" si="31"/>
        <v>7671.55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30"/>
        <v>0-12 months</v>
      </c>
      <c r="X978">
        <f t="shared" si="31"/>
        <v>69.900000000000006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30"/>
        <v>0-12 months</v>
      </c>
      <c r="X979">
        <f t="shared" si="31"/>
        <v>827.75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30"/>
        <v>49+ months</v>
      </c>
      <c r="X980">
        <f t="shared" si="31"/>
        <v>6432.5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30"/>
        <v>37-48 months</v>
      </c>
      <c r="X981">
        <f t="shared" si="31"/>
        <v>1923.25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30"/>
        <v>37-48 months</v>
      </c>
      <c r="X982">
        <f t="shared" si="31"/>
        <v>390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30"/>
        <v>37-48 months</v>
      </c>
      <c r="X983">
        <f t="shared" si="31"/>
        <v>784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30"/>
        <v>37-48 months</v>
      </c>
      <c r="X984">
        <f t="shared" si="31"/>
        <v>1866.15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30"/>
        <v>0-12 months</v>
      </c>
      <c r="X985">
        <f t="shared" si="31"/>
        <v>86.6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30"/>
        <v>49+ months</v>
      </c>
      <c r="X986">
        <f t="shared" si="31"/>
        <v>1710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30"/>
        <v>37-48 months</v>
      </c>
      <c r="X987">
        <f t="shared" si="31"/>
        <v>2659.7999999999997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30"/>
        <v>0-12 months</v>
      </c>
      <c r="X988">
        <f t="shared" si="31"/>
        <v>525.59999999999991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30"/>
        <v>0-12 months</v>
      </c>
      <c r="X989">
        <f t="shared" si="31"/>
        <v>19.75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30"/>
        <v>37-48 months</v>
      </c>
      <c r="X990">
        <f t="shared" si="31"/>
        <v>517.04999999999995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30"/>
        <v>37-48 months</v>
      </c>
      <c r="X991">
        <f t="shared" si="31"/>
        <v>666.40000000000009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30"/>
        <v>49+ months</v>
      </c>
      <c r="X992">
        <f t="shared" si="31"/>
        <v>4496.8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30"/>
        <v>49+ months</v>
      </c>
      <c r="X993">
        <f t="shared" si="31"/>
        <v>1412.3000000000002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30"/>
        <v>37-48 months</v>
      </c>
      <c r="X994">
        <f t="shared" si="31"/>
        <v>555.5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30"/>
        <v>0-12 months</v>
      </c>
      <c r="X995">
        <f t="shared" si="31"/>
        <v>261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30"/>
        <v>37-48 months</v>
      </c>
      <c r="X996">
        <f t="shared" si="31"/>
        <v>260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30"/>
        <v>37-48 months</v>
      </c>
      <c r="X997">
        <f t="shared" si="31"/>
        <v>2985.5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30"/>
        <v>37-48 months</v>
      </c>
      <c r="X998">
        <f t="shared" si="31"/>
        <v>2380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30"/>
        <v>0-12 months</v>
      </c>
      <c r="X999">
        <f t="shared" si="31"/>
        <v>377.2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30"/>
        <v>49+ months</v>
      </c>
      <c r="X1000">
        <f t="shared" si="31"/>
        <v>1490.3999999999999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30"/>
        <v>0-12 months</v>
      </c>
      <c r="X1001">
        <f t="shared" si="31"/>
        <v>140.6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30"/>
        <v>0-12 months</v>
      </c>
      <c r="X1002">
        <f t="shared" si="31"/>
        <v>667.44999999999993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30"/>
        <v>37-48 months</v>
      </c>
      <c r="X1003">
        <f t="shared" si="31"/>
        <v>2038.5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30"/>
        <v>0-12 months</v>
      </c>
      <c r="X1004">
        <f t="shared" si="31"/>
        <v>278.2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30"/>
        <v>37-48 months</v>
      </c>
      <c r="X1005">
        <f t="shared" si="31"/>
        <v>734.45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30"/>
        <v>37-48 months</v>
      </c>
      <c r="X1006">
        <f t="shared" si="31"/>
        <v>420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30"/>
        <v>49+ months</v>
      </c>
      <c r="X1007">
        <f t="shared" si="31"/>
        <v>5080.0499999999993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30"/>
        <v>37-48 months</v>
      </c>
      <c r="X1008">
        <f t="shared" si="31"/>
        <v>1621.8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30"/>
        <v>0-12 months</v>
      </c>
      <c r="X1009">
        <f t="shared" si="31"/>
        <v>137.9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30"/>
        <v>37-48 months</v>
      </c>
      <c r="X1010">
        <f t="shared" si="31"/>
        <v>3185.6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30"/>
        <v>37-48 months</v>
      </c>
      <c r="X1011">
        <f t="shared" si="31"/>
        <v>477.25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30"/>
        <v>0-12 months</v>
      </c>
      <c r="X1012">
        <f t="shared" si="31"/>
        <v>150.44999999999999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30"/>
        <v>49+ months</v>
      </c>
      <c r="X1013">
        <f t="shared" si="31"/>
        <v>4164.1499999999996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30"/>
        <v>0-12 months</v>
      </c>
      <c r="X1014">
        <f t="shared" si="31"/>
        <v>863.1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30"/>
        <v>0-12 months</v>
      </c>
      <c r="X1015">
        <f t="shared" si="31"/>
        <v>49.5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30"/>
        <v>37-48 months</v>
      </c>
      <c r="X1016">
        <f t="shared" si="31"/>
        <v>1034.1000000000001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30"/>
        <v>0-12 months</v>
      </c>
      <c r="X1017">
        <f t="shared" si="31"/>
        <v>643.79999999999995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30"/>
        <v>49+ months</v>
      </c>
      <c r="X1018">
        <f t="shared" si="31"/>
        <v>5687.0999999999995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30"/>
        <v>49+ months</v>
      </c>
      <c r="X1019">
        <f t="shared" si="31"/>
        <v>1561.6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30"/>
        <v>0-12 months</v>
      </c>
      <c r="X1020">
        <f t="shared" si="31"/>
        <v>160.19999999999999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30"/>
        <v>37-48 months</v>
      </c>
      <c r="X1021">
        <f t="shared" si="31"/>
        <v>448.5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30"/>
        <v>37-48 months</v>
      </c>
      <c r="X1022">
        <f t="shared" si="31"/>
        <v>1990.9499999999998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30"/>
        <v>37-48 months</v>
      </c>
      <c r="X1023">
        <f t="shared" si="31"/>
        <v>1521.8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30"/>
        <v>0-12 months</v>
      </c>
      <c r="X1024">
        <f t="shared" si="31"/>
        <v>423.5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30"/>
        <v>37-48 months</v>
      </c>
      <c r="X1025">
        <f t="shared" si="31"/>
        <v>3874.4999999999995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30"/>
        <v>37-48 months</v>
      </c>
      <c r="X1026">
        <f t="shared" si="31"/>
        <v>2602.9499999999998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32">IF(F1027&lt;=12,"0-12 months",
IF(A1027&lt;=24,"13-24 months",
IF(A1027&lt;=36,"25-36 months",
IF(F1027&lt;=48,"37-48 months","49+ months"))))</f>
        <v>49+ months</v>
      </c>
      <c r="X1027">
        <f t="shared" ref="X1027:X1090" si="33">S1027 * F1027</f>
        <v>6600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32"/>
        <v>0-12 months</v>
      </c>
      <c r="X1028">
        <f t="shared" si="33"/>
        <v>804.8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32"/>
        <v>37-48 months</v>
      </c>
      <c r="X1029">
        <f t="shared" si="33"/>
        <v>4460.3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32"/>
        <v>37-48 months</v>
      </c>
      <c r="X1030">
        <f t="shared" si="33"/>
        <v>2177.5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32"/>
        <v>0-12 months</v>
      </c>
      <c r="X1031">
        <f t="shared" si="33"/>
        <v>264.89999999999998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32"/>
        <v>49+ months</v>
      </c>
      <c r="X1032">
        <f t="shared" si="33"/>
        <v>3487.5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32"/>
        <v>37-48 months</v>
      </c>
      <c r="X1033">
        <f t="shared" si="33"/>
        <v>1933.1999999999998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32"/>
        <v>0-12 months</v>
      </c>
      <c r="X1034">
        <f t="shared" si="33"/>
        <v>736.8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32"/>
        <v>49+ months</v>
      </c>
      <c r="X1035">
        <f t="shared" si="33"/>
        <v>1466.3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32"/>
        <v>49+ months</v>
      </c>
      <c r="X1036">
        <f t="shared" si="33"/>
        <v>5811.3499999999995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32"/>
        <v>49+ months</v>
      </c>
      <c r="X1037">
        <f t="shared" si="33"/>
        <v>1656.6000000000001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32"/>
        <v>49+ months</v>
      </c>
      <c r="X1038">
        <f t="shared" si="33"/>
        <v>7799.6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32"/>
        <v>37-48 months</v>
      </c>
      <c r="X1039">
        <f t="shared" si="33"/>
        <v>638.94999999999993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32"/>
        <v>49+ months</v>
      </c>
      <c r="X1040">
        <f t="shared" si="33"/>
        <v>4530.4000000000005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32"/>
        <v>37-48 months</v>
      </c>
      <c r="X1041">
        <f t="shared" si="33"/>
        <v>3019.1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32"/>
        <v>37-48 months</v>
      </c>
      <c r="X1042">
        <f t="shared" si="33"/>
        <v>1266.3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32"/>
        <v>37-48 months</v>
      </c>
      <c r="X1043">
        <f t="shared" si="33"/>
        <v>308.8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32"/>
        <v>37-48 months</v>
      </c>
      <c r="X1044">
        <f t="shared" si="33"/>
        <v>982.80000000000007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32"/>
        <v>37-48 months</v>
      </c>
      <c r="X1045">
        <f t="shared" si="33"/>
        <v>2232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32"/>
        <v>0-12 months</v>
      </c>
      <c r="X1046">
        <f t="shared" si="33"/>
        <v>434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32"/>
        <v>37-48 months</v>
      </c>
      <c r="X1047">
        <f t="shared" si="33"/>
        <v>4269.8999999999996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32"/>
        <v>49+ months</v>
      </c>
      <c r="X1048">
        <f t="shared" si="33"/>
        <v>3848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32"/>
        <v>0-12 months</v>
      </c>
      <c r="X1049">
        <f t="shared" si="33"/>
        <v>150.75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32"/>
        <v>37-48 months</v>
      </c>
      <c r="X1050">
        <f t="shared" si="33"/>
        <v>574.20000000000005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32"/>
        <v>0-12 months</v>
      </c>
      <c r="X1051">
        <f t="shared" si="33"/>
        <v>19.649999999999999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32"/>
        <v>0-12 months</v>
      </c>
      <c r="X1052">
        <f t="shared" si="33"/>
        <v>523.79999999999995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32"/>
        <v>37-48 months</v>
      </c>
      <c r="X1053">
        <f t="shared" si="33"/>
        <v>568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32"/>
        <v>37-48 months</v>
      </c>
      <c r="X1054">
        <f t="shared" si="33"/>
        <v>3230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32"/>
        <v>0-12 months</v>
      </c>
      <c r="X1055">
        <f t="shared" si="33"/>
        <v>197.5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32"/>
        <v>37-48 months</v>
      </c>
      <c r="X1056">
        <f t="shared" si="33"/>
        <v>3884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32"/>
        <v>37-48 months</v>
      </c>
      <c r="X1057">
        <f t="shared" si="33"/>
        <v>703.80000000000007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32"/>
        <v>0-12 months</v>
      </c>
      <c r="X1058">
        <f t="shared" si="33"/>
        <v>400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32"/>
        <v>0-12 months</v>
      </c>
      <c r="X1059">
        <f t="shared" si="33"/>
        <v>847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32"/>
        <v>0-12 months</v>
      </c>
      <c r="X1060">
        <f t="shared" si="33"/>
        <v>179.1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32"/>
        <v>37-48 months</v>
      </c>
      <c r="X1061">
        <f t="shared" si="33"/>
        <v>2083.7999999999997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32"/>
        <v>37-48 months</v>
      </c>
      <c r="X1062">
        <f t="shared" si="33"/>
        <v>521.30000000000007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32"/>
        <v>49+ months</v>
      </c>
      <c r="X1063">
        <f t="shared" si="33"/>
        <v>8092.8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32"/>
        <v>37-48 months</v>
      </c>
      <c r="X1064">
        <f t="shared" si="33"/>
        <v>1706.8000000000002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32"/>
        <v>0-12 months</v>
      </c>
      <c r="X1065">
        <f t="shared" si="33"/>
        <v>622.5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32"/>
        <v>37-48 months</v>
      </c>
      <c r="X1066">
        <f t="shared" si="33"/>
        <v>779.80000000000007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32"/>
        <v>37-48 months</v>
      </c>
      <c r="X1067">
        <f t="shared" si="33"/>
        <v>2071.15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32"/>
        <v>37-48 months</v>
      </c>
      <c r="X1068">
        <f t="shared" si="33"/>
        <v>923.55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32"/>
        <v>37-48 months</v>
      </c>
      <c r="X1069">
        <f t="shared" si="33"/>
        <v>2142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32"/>
        <v>49+ months</v>
      </c>
      <c r="X1070">
        <f t="shared" si="33"/>
        <v>4853.45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32"/>
        <v>37-48 months</v>
      </c>
      <c r="X1071">
        <f t="shared" si="33"/>
        <v>1080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32"/>
        <v>0-12 months</v>
      </c>
      <c r="X1072">
        <f t="shared" si="33"/>
        <v>139.5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32"/>
        <v>0-12 months</v>
      </c>
      <c r="X1073">
        <f t="shared" si="33"/>
        <v>98.1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32"/>
        <v>37-48 months</v>
      </c>
      <c r="X1074">
        <f t="shared" si="33"/>
        <v>1248.5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32"/>
        <v>0-12 months</v>
      </c>
      <c r="X1075">
        <f t="shared" si="33"/>
        <v>686.35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32"/>
        <v>0-12 months</v>
      </c>
      <c r="X1076">
        <f t="shared" si="33"/>
        <v>21.1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32"/>
        <v>49+ months</v>
      </c>
      <c r="X1077">
        <f t="shared" si="33"/>
        <v>5702.35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32"/>
        <v>49+ months</v>
      </c>
      <c r="X1078">
        <f t="shared" si="33"/>
        <v>1421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32"/>
        <v>37-48 months</v>
      </c>
      <c r="X1079">
        <f t="shared" si="33"/>
        <v>4694.5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32"/>
        <v>49+ months</v>
      </c>
      <c r="X1080">
        <f t="shared" si="33"/>
        <v>4672.8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32"/>
        <v>0-12 months</v>
      </c>
      <c r="X1081">
        <f t="shared" si="33"/>
        <v>208.64999999999998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32"/>
        <v>37-48 months</v>
      </c>
      <c r="X1082">
        <f t="shared" si="33"/>
        <v>641.6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32"/>
        <v>37-48 months</v>
      </c>
      <c r="X1083">
        <f t="shared" si="33"/>
        <v>4547.0999999999995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32"/>
        <v>0-12 months</v>
      </c>
      <c r="X1084">
        <f t="shared" si="33"/>
        <v>0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32"/>
        <v>0-12 months</v>
      </c>
      <c r="X1085">
        <f t="shared" si="33"/>
        <v>161.9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32"/>
        <v>49+ months</v>
      </c>
      <c r="X1086">
        <f t="shared" si="33"/>
        <v>1019.2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32"/>
        <v>37-48 months</v>
      </c>
      <c r="X1087">
        <f t="shared" si="33"/>
        <v>965.9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32"/>
        <v>0-12 months</v>
      </c>
      <c r="X1088">
        <f t="shared" si="33"/>
        <v>986.7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32"/>
        <v>37-48 months</v>
      </c>
      <c r="X1089">
        <f t="shared" si="33"/>
        <v>2804.8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32"/>
        <v>37-48 months</v>
      </c>
      <c r="X1090">
        <f t="shared" si="33"/>
        <v>1707.65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34">IF(F1091&lt;=12,"0-12 months",
IF(A1091&lt;=24,"13-24 months",
IF(A1091&lt;=36,"25-36 months",
IF(F1091&lt;=48,"37-48 months","49+ months"))))</f>
        <v>37-48 months</v>
      </c>
      <c r="X1091">
        <f t="shared" ref="X1091:X1154" si="35">S1091 * F1091</f>
        <v>1196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34"/>
        <v>49+ months</v>
      </c>
      <c r="X1092">
        <f t="shared" si="35"/>
        <v>5479.95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34"/>
        <v>37-48 months</v>
      </c>
      <c r="X1093">
        <f t="shared" si="35"/>
        <v>2185.1499999999996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34"/>
        <v>49+ months</v>
      </c>
      <c r="X1094">
        <f t="shared" si="35"/>
        <v>4546.5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34"/>
        <v>49+ months</v>
      </c>
      <c r="X1095">
        <f t="shared" si="35"/>
        <v>7131.95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34"/>
        <v>37-48 months</v>
      </c>
      <c r="X1096">
        <f t="shared" si="35"/>
        <v>2808.5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34"/>
        <v>0-12 months</v>
      </c>
      <c r="X1097">
        <f t="shared" si="35"/>
        <v>80.55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34"/>
        <v>0-12 months</v>
      </c>
      <c r="X1098">
        <f t="shared" si="35"/>
        <v>568.75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34"/>
        <v>37-48 months</v>
      </c>
      <c r="X1099">
        <f t="shared" si="35"/>
        <v>2260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34"/>
        <v>49+ months</v>
      </c>
      <c r="X1100">
        <f t="shared" si="35"/>
        <v>5999.8499999999995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34"/>
        <v>0-12 months</v>
      </c>
      <c r="X1101">
        <f t="shared" si="35"/>
        <v>278.5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34"/>
        <v>37-48 months</v>
      </c>
      <c r="X1102">
        <f t="shared" si="35"/>
        <v>372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34"/>
        <v>37-48 months</v>
      </c>
      <c r="X1103">
        <f t="shared" si="35"/>
        <v>400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34"/>
        <v>0-12 months</v>
      </c>
      <c r="X1104">
        <f t="shared" si="35"/>
        <v>168.45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34"/>
        <v>49+ months</v>
      </c>
      <c r="X1105">
        <f t="shared" si="35"/>
        <v>5680.8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34"/>
        <v>37-48 months</v>
      </c>
      <c r="X1106">
        <f t="shared" si="35"/>
        <v>821.1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34"/>
        <v>0-12 months</v>
      </c>
      <c r="X1107">
        <f t="shared" si="35"/>
        <v>717.75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34"/>
        <v>49+ months</v>
      </c>
      <c r="X1108">
        <f t="shared" si="35"/>
        <v>6139.35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34"/>
        <v>49+ months</v>
      </c>
      <c r="X1109">
        <f t="shared" si="35"/>
        <v>1673.25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34"/>
        <v>49+ months</v>
      </c>
      <c r="X1110">
        <f t="shared" si="35"/>
        <v>1697.4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34"/>
        <v>37-48 months</v>
      </c>
      <c r="X1111">
        <f t="shared" si="35"/>
        <v>2006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34"/>
        <v>49+ months</v>
      </c>
      <c r="X1112">
        <f t="shared" si="35"/>
        <v>2376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34"/>
        <v>0-12 months</v>
      </c>
      <c r="X1113">
        <f t="shared" si="35"/>
        <v>377.6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34"/>
        <v>49+ months</v>
      </c>
      <c r="X1114">
        <f t="shared" si="35"/>
        <v>6379.3499999999995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34"/>
        <v>37-48 months</v>
      </c>
      <c r="X1115">
        <f t="shared" si="35"/>
        <v>2921.15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34"/>
        <v>37-48 months</v>
      </c>
      <c r="X1116">
        <f t="shared" si="35"/>
        <v>3163.2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34"/>
        <v>37-48 months</v>
      </c>
      <c r="X1117">
        <f t="shared" si="35"/>
        <v>2100.15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34"/>
        <v>37-48 months</v>
      </c>
      <c r="X1118">
        <f t="shared" si="35"/>
        <v>921.5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34"/>
        <v>49+ months</v>
      </c>
      <c r="X1119">
        <f t="shared" si="35"/>
        <v>4651.4000000000005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34"/>
        <v>37-48 months</v>
      </c>
      <c r="X1120">
        <f t="shared" si="35"/>
        <v>5052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34"/>
        <v>49+ months</v>
      </c>
      <c r="X1121">
        <f t="shared" si="35"/>
        <v>4165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34"/>
        <v>37-48 months</v>
      </c>
      <c r="X1122">
        <f t="shared" si="35"/>
        <v>1411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34"/>
        <v>49+ months</v>
      </c>
      <c r="X1123">
        <f t="shared" si="35"/>
        <v>4125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34"/>
        <v>37-48 months</v>
      </c>
      <c r="X1124">
        <f t="shared" si="35"/>
        <v>852.15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34"/>
        <v>37-48 months</v>
      </c>
      <c r="X1125">
        <f t="shared" si="35"/>
        <v>1540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34"/>
        <v>0-12 months</v>
      </c>
      <c r="X1126">
        <f t="shared" si="35"/>
        <v>588.59999999999991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34"/>
        <v>37-48 months</v>
      </c>
      <c r="X1127">
        <f t="shared" si="35"/>
        <v>4120.3500000000004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34"/>
        <v>0-12 months</v>
      </c>
      <c r="X1128">
        <f t="shared" si="35"/>
        <v>522.55000000000007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34"/>
        <v>37-48 months</v>
      </c>
      <c r="X1129">
        <f t="shared" si="35"/>
        <v>1523.75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34"/>
        <v>37-48 months</v>
      </c>
      <c r="X1130">
        <f t="shared" si="35"/>
        <v>523.79999999999995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34"/>
        <v>37-48 months</v>
      </c>
      <c r="X1131">
        <f t="shared" si="35"/>
        <v>4044.35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34"/>
        <v>37-48 months</v>
      </c>
      <c r="X1132">
        <f t="shared" si="35"/>
        <v>497.9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34"/>
        <v>37-48 months</v>
      </c>
      <c r="X1133">
        <f t="shared" si="35"/>
        <v>905.80000000000007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34"/>
        <v>0-12 months</v>
      </c>
      <c r="X1134">
        <f t="shared" si="35"/>
        <v>1144.55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34"/>
        <v>0-12 months</v>
      </c>
      <c r="X1135">
        <f t="shared" si="35"/>
        <v>38.5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34"/>
        <v>37-48 months</v>
      </c>
      <c r="X1136">
        <f t="shared" si="35"/>
        <v>2130.7000000000003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34"/>
        <v>49+ months</v>
      </c>
      <c r="X1137">
        <f t="shared" si="35"/>
        <v>8254.8000000000011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34"/>
        <v>49+ months</v>
      </c>
      <c r="X1138">
        <f t="shared" si="35"/>
        <v>1260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34"/>
        <v>49+ months</v>
      </c>
      <c r="X1139">
        <f t="shared" si="35"/>
        <v>1405.8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34"/>
        <v>0-12 months</v>
      </c>
      <c r="X1140">
        <f t="shared" si="35"/>
        <v>716.65000000000009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34"/>
        <v>37-48 months</v>
      </c>
      <c r="X1141">
        <f t="shared" si="35"/>
        <v>275.09999999999997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34"/>
        <v>37-48 months</v>
      </c>
      <c r="X1142">
        <f t="shared" si="35"/>
        <v>1156.3500000000001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34"/>
        <v>0-12 months</v>
      </c>
      <c r="X1143">
        <f t="shared" si="35"/>
        <v>121.19999999999999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34"/>
        <v>0-12 months</v>
      </c>
      <c r="X1144">
        <f t="shared" si="35"/>
        <v>827.2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34"/>
        <v>37-48 months</v>
      </c>
      <c r="X1145">
        <f t="shared" si="35"/>
        <v>1022.4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34"/>
        <v>0-12 months</v>
      </c>
      <c r="X1146">
        <f t="shared" si="35"/>
        <v>35.549999999999997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34"/>
        <v>37-48 months</v>
      </c>
      <c r="X1147">
        <f t="shared" si="35"/>
        <v>2416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34"/>
        <v>37-48 months</v>
      </c>
      <c r="X1148">
        <f t="shared" si="35"/>
        <v>1032.4000000000001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34"/>
        <v>0-12 months</v>
      </c>
      <c r="X1149">
        <f t="shared" si="35"/>
        <v>180.75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34"/>
        <v>0-12 months</v>
      </c>
      <c r="X1150">
        <f t="shared" si="35"/>
        <v>190.3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34"/>
        <v>37-48 months</v>
      </c>
      <c r="X1151">
        <f t="shared" si="35"/>
        <v>1256.45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34"/>
        <v>37-48 months</v>
      </c>
      <c r="X1152">
        <f t="shared" si="35"/>
        <v>1654.3500000000001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34"/>
        <v>0-12 months</v>
      </c>
      <c r="X1153">
        <f t="shared" si="35"/>
        <v>18.850000000000001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34"/>
        <v>0-12 months</v>
      </c>
      <c r="X1154">
        <f t="shared" si="35"/>
        <v>383.95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36">IF(F1155&lt;=12,"0-12 months",
IF(A1155&lt;=24,"13-24 months",
IF(A1155&lt;=36,"25-36 months",
IF(F1155&lt;=48,"37-48 months","49+ months"))))</f>
        <v>49+ months</v>
      </c>
      <c r="X1155">
        <f t="shared" ref="X1155:X1218" si="37">S1155 * F1155</f>
        <v>3343.6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36"/>
        <v>37-48 months</v>
      </c>
      <c r="X1156">
        <f t="shared" si="37"/>
        <v>1109.25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36"/>
        <v>49+ months</v>
      </c>
      <c r="X1157">
        <f t="shared" si="37"/>
        <v>5327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36"/>
        <v>49+ months</v>
      </c>
      <c r="X1158">
        <f t="shared" si="37"/>
        <v>991.09999999999991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36"/>
        <v>49+ months</v>
      </c>
      <c r="X1159">
        <f t="shared" si="37"/>
        <v>6072.9000000000005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36"/>
        <v>49+ months</v>
      </c>
      <c r="X1160">
        <f t="shared" si="37"/>
        <v>5646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36"/>
        <v>0-12 months</v>
      </c>
      <c r="X1161">
        <f t="shared" si="37"/>
        <v>241.20000000000002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36"/>
        <v>37-48 months</v>
      </c>
      <c r="X1162">
        <f t="shared" si="37"/>
        <v>2187.2999999999997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36"/>
        <v>0-12 months</v>
      </c>
      <c r="X1163">
        <f t="shared" si="37"/>
        <v>31.35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36"/>
        <v>49+ months</v>
      </c>
      <c r="X1164">
        <f t="shared" si="37"/>
        <v>4847.45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36"/>
        <v>0-12 months</v>
      </c>
      <c r="X1165">
        <f t="shared" si="37"/>
        <v>1077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36"/>
        <v>49+ months</v>
      </c>
      <c r="X1166">
        <f t="shared" si="37"/>
        <v>5871.7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36"/>
        <v>37-48 months</v>
      </c>
      <c r="X1167">
        <f t="shared" si="37"/>
        <v>497.49999999999994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36"/>
        <v>0-12 months</v>
      </c>
      <c r="X1168">
        <f t="shared" si="37"/>
        <v>269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36"/>
        <v>37-48 months</v>
      </c>
      <c r="X1169">
        <f t="shared" si="37"/>
        <v>1340.3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36"/>
        <v>0-12 months</v>
      </c>
      <c r="X1170">
        <f t="shared" si="37"/>
        <v>19.649999999999999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36"/>
        <v>49+ months</v>
      </c>
      <c r="X1171">
        <f t="shared" si="37"/>
        <v>3083.5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36"/>
        <v>49+ months</v>
      </c>
      <c r="X1172">
        <f t="shared" si="37"/>
        <v>8208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36"/>
        <v>49+ months</v>
      </c>
      <c r="X1173">
        <f t="shared" si="37"/>
        <v>5664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36"/>
        <v>37-48 months</v>
      </c>
      <c r="X1174">
        <f t="shared" si="37"/>
        <v>3212.8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36"/>
        <v>0-12 months</v>
      </c>
      <c r="X1175">
        <f t="shared" si="37"/>
        <v>19.850000000000001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36"/>
        <v>37-48 months</v>
      </c>
      <c r="X1176">
        <f t="shared" si="37"/>
        <v>759.5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36"/>
        <v>37-48 months</v>
      </c>
      <c r="X1177">
        <f t="shared" si="37"/>
        <v>1040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36"/>
        <v>0-12 months</v>
      </c>
      <c r="X1178">
        <f t="shared" si="37"/>
        <v>659.40000000000009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36"/>
        <v>37-48 months</v>
      </c>
      <c r="X1179">
        <f t="shared" si="37"/>
        <v>3643.2000000000003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36"/>
        <v>37-48 months</v>
      </c>
      <c r="X1180">
        <f t="shared" si="37"/>
        <v>1520.25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36"/>
        <v>37-48 months</v>
      </c>
      <c r="X1181">
        <f t="shared" si="37"/>
        <v>4054.9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36"/>
        <v>37-48 months</v>
      </c>
      <c r="X1182">
        <f t="shared" si="37"/>
        <v>1942.1999999999998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36"/>
        <v>37-48 months</v>
      </c>
      <c r="X1183">
        <f t="shared" si="37"/>
        <v>1261.05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36"/>
        <v>49+ months</v>
      </c>
      <c r="X1184">
        <f t="shared" si="37"/>
        <v>3063.75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36"/>
        <v>49+ months</v>
      </c>
      <c r="X1185">
        <f t="shared" si="37"/>
        <v>4952.8500000000004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36"/>
        <v>37-48 months</v>
      </c>
      <c r="X1186">
        <f t="shared" si="37"/>
        <v>1582.2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36"/>
        <v>0-12 months</v>
      </c>
      <c r="X1187">
        <f t="shared" si="37"/>
        <v>60.15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36"/>
        <v>49+ months</v>
      </c>
      <c r="X1188">
        <f t="shared" si="37"/>
        <v>3540.8999999999996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36"/>
        <v>49+ months</v>
      </c>
      <c r="X1189">
        <f t="shared" si="37"/>
        <v>7387.55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36"/>
        <v>37-48 months</v>
      </c>
      <c r="X1190">
        <f t="shared" si="37"/>
        <v>3473.75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36"/>
        <v>0-12 months</v>
      </c>
      <c r="X1191">
        <f t="shared" si="37"/>
        <v>257.10000000000002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36"/>
        <v>37-48 months</v>
      </c>
      <c r="X1192">
        <f t="shared" si="37"/>
        <v>3984.2999999999997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36"/>
        <v>37-48 months</v>
      </c>
      <c r="X1193">
        <f t="shared" si="37"/>
        <v>2420.25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36"/>
        <v>0-12 months</v>
      </c>
      <c r="X1194">
        <f t="shared" si="37"/>
        <v>633.15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36"/>
        <v>37-48 months</v>
      </c>
      <c r="X1195">
        <f t="shared" si="37"/>
        <v>3499.15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36"/>
        <v>37-48 months</v>
      </c>
      <c r="X1196">
        <f t="shared" si="37"/>
        <v>706.30000000000007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36"/>
        <v>37-48 months</v>
      </c>
      <c r="X1197">
        <f t="shared" si="37"/>
        <v>1200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36"/>
        <v>49+ months</v>
      </c>
      <c r="X1198">
        <f t="shared" si="37"/>
        <v>5626.5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36"/>
        <v>37-48 months</v>
      </c>
      <c r="X1199">
        <f t="shared" si="37"/>
        <v>291.75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36"/>
        <v>37-48 months</v>
      </c>
      <c r="X1200">
        <f t="shared" si="37"/>
        <v>871.5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36"/>
        <v>37-48 months</v>
      </c>
      <c r="X1201">
        <f t="shared" si="37"/>
        <v>1341.3000000000002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36"/>
        <v>37-48 months</v>
      </c>
      <c r="X1202">
        <f t="shared" si="37"/>
        <v>3866.5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36"/>
        <v>0-12 months</v>
      </c>
      <c r="X1203">
        <f t="shared" si="37"/>
        <v>592.79999999999995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36"/>
        <v>49+ months</v>
      </c>
      <c r="X1204">
        <f t="shared" si="37"/>
        <v>4995.25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36"/>
        <v>49+ months</v>
      </c>
      <c r="X1205">
        <f t="shared" si="37"/>
        <v>1500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36"/>
        <v>37-48 months</v>
      </c>
      <c r="X1206">
        <f t="shared" si="37"/>
        <v>459.90000000000003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36"/>
        <v>0-12 months</v>
      </c>
      <c r="X1207">
        <f t="shared" si="37"/>
        <v>74.900000000000006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36"/>
        <v>0-12 months</v>
      </c>
      <c r="X1208">
        <f t="shared" si="37"/>
        <v>210.45000000000002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36"/>
        <v>0-12 months</v>
      </c>
      <c r="X1209">
        <f t="shared" si="37"/>
        <v>624.6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36"/>
        <v>0-12 months</v>
      </c>
      <c r="X1210">
        <f t="shared" si="37"/>
        <v>80.25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36"/>
        <v>49+ months</v>
      </c>
      <c r="X1211">
        <f t="shared" si="37"/>
        <v>5216.4000000000005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36"/>
        <v>37-48 months</v>
      </c>
      <c r="X1212">
        <f t="shared" si="37"/>
        <v>1173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36"/>
        <v>0-12 months</v>
      </c>
      <c r="X1213">
        <f t="shared" si="37"/>
        <v>729.84999999999991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36"/>
        <v>0-12 months</v>
      </c>
      <c r="X1214">
        <f t="shared" si="37"/>
        <v>486.84999999999997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36"/>
        <v>49+ months</v>
      </c>
      <c r="X1215">
        <f t="shared" si="37"/>
        <v>1393.8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36"/>
        <v>37-48 months</v>
      </c>
      <c r="X1216">
        <f t="shared" si="37"/>
        <v>1634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36"/>
        <v>0-12 months</v>
      </c>
      <c r="X1217">
        <f t="shared" si="37"/>
        <v>240.89999999999998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36"/>
        <v>49+ months</v>
      </c>
      <c r="X1218">
        <f t="shared" si="37"/>
        <v>1101.5999999999999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38">IF(F1219&lt;=12,"0-12 months",
IF(A1219&lt;=24,"13-24 months",
IF(A1219&lt;=36,"25-36 months",
IF(F1219&lt;=48,"37-48 months","49+ months"))))</f>
        <v>49+ months</v>
      </c>
      <c r="X1219">
        <f t="shared" ref="X1219:X1282" si="39">S1219 * F1219</f>
        <v>1472.5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38"/>
        <v>37-48 months</v>
      </c>
      <c r="X1220">
        <f t="shared" si="39"/>
        <v>2173.1999999999998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38"/>
        <v>49+ months</v>
      </c>
      <c r="X1221">
        <f t="shared" si="39"/>
        <v>4367.9000000000005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38"/>
        <v>37-48 months</v>
      </c>
      <c r="X1222">
        <f t="shared" si="39"/>
        <v>1117.75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38"/>
        <v>0-12 months</v>
      </c>
      <c r="X1223">
        <f t="shared" si="39"/>
        <v>221.4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38"/>
        <v>49+ months</v>
      </c>
      <c r="X1224">
        <f t="shared" si="39"/>
        <v>4432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38"/>
        <v>0-12 months</v>
      </c>
      <c r="X1225">
        <f t="shared" si="39"/>
        <v>151.80000000000001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38"/>
        <v>0-12 months</v>
      </c>
      <c r="X1226">
        <f t="shared" si="39"/>
        <v>45.85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38"/>
        <v>37-48 months</v>
      </c>
      <c r="X1227">
        <f t="shared" si="39"/>
        <v>799.2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38"/>
        <v>49+ months</v>
      </c>
      <c r="X1228">
        <f t="shared" si="39"/>
        <v>1774.8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38"/>
        <v>37-48 months</v>
      </c>
      <c r="X1229">
        <f t="shared" si="39"/>
        <v>2712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38"/>
        <v>49+ months</v>
      </c>
      <c r="X1230">
        <f t="shared" si="39"/>
        <v>4941.6499999999996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38"/>
        <v>49+ months</v>
      </c>
      <c r="X1231">
        <f t="shared" si="39"/>
        <v>4596.3499999999995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38"/>
        <v>37-48 months</v>
      </c>
      <c r="X1232">
        <f t="shared" si="39"/>
        <v>4098.4000000000005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38"/>
        <v>37-48 months</v>
      </c>
      <c r="X1233">
        <f t="shared" si="39"/>
        <v>1288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38"/>
        <v>37-48 months</v>
      </c>
      <c r="X1234">
        <f t="shared" si="39"/>
        <v>2662.2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38"/>
        <v>49+ months</v>
      </c>
      <c r="X1235">
        <f t="shared" si="39"/>
        <v>1729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38"/>
        <v>49+ months</v>
      </c>
      <c r="X1236">
        <f t="shared" si="39"/>
        <v>5715.9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38"/>
        <v>49+ months</v>
      </c>
      <c r="X1237">
        <f t="shared" si="39"/>
        <v>5996.3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38"/>
        <v>0-12 months</v>
      </c>
      <c r="X1238">
        <f t="shared" si="39"/>
        <v>230.85000000000002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38"/>
        <v>37-48 months</v>
      </c>
      <c r="X1239">
        <f t="shared" si="39"/>
        <v>252.85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38"/>
        <v>37-48 months</v>
      </c>
      <c r="X1240">
        <f t="shared" si="39"/>
        <v>1538.4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38"/>
        <v>0-12 months</v>
      </c>
      <c r="X1241">
        <f t="shared" si="39"/>
        <v>176.10000000000002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38"/>
        <v>37-48 months</v>
      </c>
      <c r="X1242">
        <f t="shared" si="39"/>
        <v>503.74999999999994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38"/>
        <v>37-48 months</v>
      </c>
      <c r="X1243">
        <f t="shared" si="39"/>
        <v>1935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38"/>
        <v>37-48 months</v>
      </c>
      <c r="X1244">
        <f t="shared" si="39"/>
        <v>598.5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38"/>
        <v>0-12 months</v>
      </c>
      <c r="X1245">
        <f t="shared" si="39"/>
        <v>45.3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38"/>
        <v>37-48 months</v>
      </c>
      <c r="X1246">
        <f t="shared" si="39"/>
        <v>291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38"/>
        <v>37-48 months</v>
      </c>
      <c r="X1247">
        <f t="shared" si="39"/>
        <v>2080.35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38"/>
        <v>37-48 months</v>
      </c>
      <c r="X1248">
        <f t="shared" si="39"/>
        <v>4731.75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38"/>
        <v>37-48 months</v>
      </c>
      <c r="X1249">
        <f t="shared" si="39"/>
        <v>1995.6000000000001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38"/>
        <v>0-12 months</v>
      </c>
      <c r="X1250">
        <f t="shared" si="39"/>
        <v>991.65000000000009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38"/>
        <v>0-12 months</v>
      </c>
      <c r="X1251">
        <f t="shared" si="39"/>
        <v>45.05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38"/>
        <v>49+ months</v>
      </c>
      <c r="X1252">
        <f t="shared" si="39"/>
        <v>5779.2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38"/>
        <v>0-12 months</v>
      </c>
      <c r="X1253">
        <f t="shared" si="39"/>
        <v>75.8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38"/>
        <v>0-12 months</v>
      </c>
      <c r="X1254">
        <f t="shared" si="39"/>
        <v>19.45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38"/>
        <v>0-12 months</v>
      </c>
      <c r="X1255">
        <f t="shared" si="39"/>
        <v>555.1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38"/>
        <v>49+ months</v>
      </c>
      <c r="X1256">
        <f t="shared" si="39"/>
        <v>4884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38"/>
        <v>0-12 months</v>
      </c>
      <c r="X1257">
        <f t="shared" si="39"/>
        <v>61.8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38"/>
        <v>49+ months</v>
      </c>
      <c r="X1258">
        <f t="shared" si="39"/>
        <v>6184.8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38"/>
        <v>37-48 months</v>
      </c>
      <c r="X1259">
        <f t="shared" si="39"/>
        <v>1539.0000000000002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38"/>
        <v>37-48 months</v>
      </c>
      <c r="X1260">
        <f t="shared" si="39"/>
        <v>947.05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38"/>
        <v>37-48 months</v>
      </c>
      <c r="X1261">
        <f t="shared" si="39"/>
        <v>4381.5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38"/>
        <v>0-12 months</v>
      </c>
      <c r="X1262">
        <f t="shared" si="39"/>
        <v>100.6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38"/>
        <v>0-12 months</v>
      </c>
      <c r="X1263">
        <f t="shared" si="39"/>
        <v>160.30000000000001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38"/>
        <v>0-12 months</v>
      </c>
      <c r="X1264">
        <f t="shared" si="39"/>
        <v>615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38"/>
        <v>49+ months</v>
      </c>
      <c r="X1265">
        <f t="shared" si="39"/>
        <v>6092.7999999999993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38"/>
        <v>49+ months</v>
      </c>
      <c r="X1266">
        <f t="shared" si="39"/>
        <v>6568.8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38"/>
        <v>49+ months</v>
      </c>
      <c r="X1267">
        <f t="shared" si="39"/>
        <v>5308.8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38"/>
        <v>0-12 months</v>
      </c>
      <c r="X1268">
        <f t="shared" si="39"/>
        <v>321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38"/>
        <v>49+ months</v>
      </c>
      <c r="X1269">
        <f t="shared" si="39"/>
        <v>4870.3999999999996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38"/>
        <v>49+ months</v>
      </c>
      <c r="X1270">
        <f t="shared" si="39"/>
        <v>6498.85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38"/>
        <v>49+ months</v>
      </c>
      <c r="X1271">
        <f t="shared" si="39"/>
        <v>7164.0999999999995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38"/>
        <v>49+ months</v>
      </c>
      <c r="X1272">
        <f t="shared" si="39"/>
        <v>1552.9499999999998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38"/>
        <v>49+ months</v>
      </c>
      <c r="X1273">
        <f t="shared" si="39"/>
        <v>2840.8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38"/>
        <v>0-12 months</v>
      </c>
      <c r="X1274">
        <f t="shared" si="39"/>
        <v>97.25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38"/>
        <v>49+ months</v>
      </c>
      <c r="X1275">
        <f t="shared" si="39"/>
        <v>4321.8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38"/>
        <v>49+ months</v>
      </c>
      <c r="X1276">
        <f t="shared" si="39"/>
        <v>6271.3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38"/>
        <v>49+ months</v>
      </c>
      <c r="X1277">
        <f t="shared" si="39"/>
        <v>3124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38"/>
        <v>49+ months</v>
      </c>
      <c r="X1278">
        <f t="shared" si="39"/>
        <v>7057.4000000000005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38"/>
        <v>49+ months</v>
      </c>
      <c r="X1279">
        <f t="shared" si="39"/>
        <v>1447.2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38"/>
        <v>37-48 months</v>
      </c>
      <c r="X1280">
        <f t="shared" si="39"/>
        <v>2185.2000000000003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38"/>
        <v>37-48 months</v>
      </c>
      <c r="X1281">
        <f t="shared" si="39"/>
        <v>523.75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38"/>
        <v>49+ months</v>
      </c>
      <c r="X1282">
        <f t="shared" si="39"/>
        <v>8269.1999999999989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40">IF(F1283&lt;=12,"0-12 months",
IF(A1283&lt;=24,"13-24 months",
IF(A1283&lt;=36,"25-36 months",
IF(F1283&lt;=48,"37-48 months","49+ months"))))</f>
        <v>37-48 months</v>
      </c>
      <c r="X1283">
        <f t="shared" ref="X1283:X1346" si="41">S1283 * F1283</f>
        <v>693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40"/>
        <v>0-12 months</v>
      </c>
      <c r="X1284">
        <f t="shared" si="41"/>
        <v>62.8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40"/>
        <v>49+ months</v>
      </c>
      <c r="X1285">
        <f t="shared" si="41"/>
        <v>7596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40"/>
        <v>49+ months</v>
      </c>
      <c r="X1286">
        <f t="shared" si="41"/>
        <v>1171.1500000000001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40"/>
        <v>0-12 months</v>
      </c>
      <c r="X1287">
        <f t="shared" si="41"/>
        <v>626.5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40"/>
        <v>0-12 months</v>
      </c>
      <c r="X1288">
        <f t="shared" si="41"/>
        <v>74.099999999999994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40"/>
        <v>37-48 months</v>
      </c>
      <c r="X1289">
        <f t="shared" si="41"/>
        <v>3225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40"/>
        <v>49+ months</v>
      </c>
      <c r="X1290">
        <f t="shared" si="41"/>
        <v>1251.2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40"/>
        <v>49+ months</v>
      </c>
      <c r="X1291">
        <f t="shared" si="41"/>
        <v>4334.3999999999996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40"/>
        <v>49+ months</v>
      </c>
      <c r="X1292">
        <f t="shared" si="41"/>
        <v>6080.4000000000005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40"/>
        <v>0-12 months</v>
      </c>
      <c r="X1293">
        <f t="shared" si="41"/>
        <v>600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40"/>
        <v>49+ months</v>
      </c>
      <c r="X1294">
        <f t="shared" si="41"/>
        <v>5239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40"/>
        <v>49+ months</v>
      </c>
      <c r="X1295">
        <f t="shared" si="41"/>
        <v>7450.4000000000005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40"/>
        <v>0-12 months</v>
      </c>
      <c r="X1296">
        <f t="shared" si="41"/>
        <v>268.5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40"/>
        <v>49+ months</v>
      </c>
      <c r="X1297">
        <f t="shared" si="41"/>
        <v>5642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40"/>
        <v>37-48 months</v>
      </c>
      <c r="X1298">
        <f t="shared" si="41"/>
        <v>1614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40"/>
        <v>0-12 months</v>
      </c>
      <c r="X1299">
        <f t="shared" si="41"/>
        <v>378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40"/>
        <v>37-48 months</v>
      </c>
      <c r="X1300">
        <f t="shared" si="41"/>
        <v>1382.4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40"/>
        <v>0-12 months</v>
      </c>
      <c r="X1301">
        <f t="shared" si="41"/>
        <v>484.54999999999995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40"/>
        <v>49+ months</v>
      </c>
      <c r="X1302">
        <f t="shared" si="41"/>
        <v>7963.2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40"/>
        <v>49+ months</v>
      </c>
      <c r="X1303">
        <f t="shared" si="41"/>
        <v>3841.2000000000003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40"/>
        <v>37-48 months</v>
      </c>
      <c r="X1304">
        <f t="shared" si="41"/>
        <v>3645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40"/>
        <v>49+ months</v>
      </c>
      <c r="X1305">
        <f t="shared" si="41"/>
        <v>1359.3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40"/>
        <v>37-48 months</v>
      </c>
      <c r="X1306">
        <f t="shared" si="41"/>
        <v>1284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40"/>
        <v>37-48 months</v>
      </c>
      <c r="X1307">
        <f t="shared" si="41"/>
        <v>1667.3999999999999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40"/>
        <v>49+ months</v>
      </c>
      <c r="X1308">
        <f t="shared" si="41"/>
        <v>8088.5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40"/>
        <v>37-48 months</v>
      </c>
      <c r="X1309">
        <f t="shared" si="41"/>
        <v>2719.7999999999997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40"/>
        <v>37-48 months</v>
      </c>
      <c r="X1310">
        <f t="shared" si="41"/>
        <v>1385.6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40"/>
        <v>37-48 months</v>
      </c>
      <c r="X1311">
        <f t="shared" si="41"/>
        <v>1533.6000000000001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40"/>
        <v>37-48 months</v>
      </c>
      <c r="X1312">
        <f t="shared" si="41"/>
        <v>3320.1000000000004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40"/>
        <v>37-48 months</v>
      </c>
      <c r="X1313">
        <f t="shared" si="41"/>
        <v>1894.2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40"/>
        <v>37-48 months</v>
      </c>
      <c r="X1314">
        <f t="shared" si="41"/>
        <v>3405.6000000000004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40"/>
        <v>37-48 months</v>
      </c>
      <c r="X1315">
        <f t="shared" si="41"/>
        <v>5148.8499999999995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40"/>
        <v>37-48 months</v>
      </c>
      <c r="X1316">
        <f t="shared" si="41"/>
        <v>3492.45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40"/>
        <v>0-12 months</v>
      </c>
      <c r="X1317">
        <f t="shared" si="41"/>
        <v>229.89999999999998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40"/>
        <v>0-12 months</v>
      </c>
      <c r="X1318">
        <f t="shared" si="41"/>
        <v>139.65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40"/>
        <v>0-12 months</v>
      </c>
      <c r="X1319">
        <f t="shared" si="41"/>
        <v>73.800000000000011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40"/>
        <v>0-12 months</v>
      </c>
      <c r="X1320">
        <f t="shared" si="41"/>
        <v>533.6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40"/>
        <v>0-12 months</v>
      </c>
      <c r="X1321">
        <f t="shared" si="41"/>
        <v>19.45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40"/>
        <v>37-48 months</v>
      </c>
      <c r="X1322">
        <f t="shared" si="41"/>
        <v>3033.6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40"/>
        <v>49+ months</v>
      </c>
      <c r="X1323">
        <f t="shared" si="41"/>
        <v>3950.9999999999995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40"/>
        <v>0-12 months</v>
      </c>
      <c r="X1324">
        <f t="shared" si="41"/>
        <v>199.5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40"/>
        <v>49+ months</v>
      </c>
      <c r="X1325">
        <f t="shared" si="41"/>
        <v>1750.1499999999999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40"/>
        <v>0-12 months</v>
      </c>
      <c r="X1326">
        <f t="shared" si="41"/>
        <v>81.400000000000006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40"/>
        <v>0-12 months</v>
      </c>
      <c r="X1327">
        <f t="shared" si="41"/>
        <v>69.25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40"/>
        <v>37-48 months</v>
      </c>
      <c r="X1328">
        <f t="shared" si="41"/>
        <v>2203.75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40"/>
        <v>49+ months</v>
      </c>
      <c r="X1329">
        <f t="shared" si="41"/>
        <v>5870.5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40"/>
        <v>37-48 months</v>
      </c>
      <c r="X1330">
        <f t="shared" si="41"/>
        <v>1247.75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40"/>
        <v>49+ months</v>
      </c>
      <c r="X1331">
        <f t="shared" si="41"/>
        <v>1396.8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40"/>
        <v>37-48 months</v>
      </c>
      <c r="X1332">
        <f t="shared" si="41"/>
        <v>1237.5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40"/>
        <v>0-12 months</v>
      </c>
      <c r="X1333">
        <f t="shared" si="41"/>
        <v>25.15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40"/>
        <v>49+ months</v>
      </c>
      <c r="X1334">
        <f t="shared" si="41"/>
        <v>1652.55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40"/>
        <v>49+ months</v>
      </c>
      <c r="X1335">
        <f t="shared" si="41"/>
        <v>1770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40"/>
        <v>0-12 months</v>
      </c>
      <c r="X1336">
        <f t="shared" si="41"/>
        <v>25.2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40"/>
        <v>0-12 months</v>
      </c>
      <c r="X1337">
        <f t="shared" si="41"/>
        <v>90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40"/>
        <v>37-48 months</v>
      </c>
      <c r="X1338">
        <f t="shared" si="41"/>
        <v>1130.25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40"/>
        <v>37-48 months</v>
      </c>
      <c r="X1339">
        <f t="shared" si="41"/>
        <v>632.4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40"/>
        <v>0-12 months</v>
      </c>
      <c r="X1340">
        <f t="shared" si="41"/>
        <v>20.149999999999999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40"/>
        <v>49+ months</v>
      </c>
      <c r="X1341">
        <f t="shared" si="41"/>
        <v>6930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40"/>
        <v>0-12 months</v>
      </c>
      <c r="X1342">
        <f t="shared" si="41"/>
        <v>0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40"/>
        <v>0-12 months</v>
      </c>
      <c r="X1343">
        <f t="shared" si="41"/>
        <v>164.10000000000002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40"/>
        <v>0-12 months</v>
      </c>
      <c r="X1344">
        <f t="shared" si="41"/>
        <v>160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40"/>
        <v>49+ months</v>
      </c>
      <c r="X1345">
        <f t="shared" si="41"/>
        <v>4675.2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40"/>
        <v>37-48 months</v>
      </c>
      <c r="X1346">
        <f t="shared" si="41"/>
        <v>574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42">IF(F1347&lt;=12,"0-12 months",
IF(A1347&lt;=24,"13-24 months",
IF(A1347&lt;=36,"25-36 months",
IF(F1347&lt;=48,"37-48 months","49+ months"))))</f>
        <v>49+ months</v>
      </c>
      <c r="X1347">
        <f t="shared" ref="X1347:X1410" si="43">S1347 * F1347</f>
        <v>5742.75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42"/>
        <v>37-48 months</v>
      </c>
      <c r="X1348">
        <f t="shared" si="43"/>
        <v>1221.5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42"/>
        <v>37-48 months</v>
      </c>
      <c r="X1349">
        <f t="shared" si="43"/>
        <v>379.05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42"/>
        <v>0-12 months</v>
      </c>
      <c r="X1350">
        <f t="shared" si="43"/>
        <v>799.5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42"/>
        <v>49+ months</v>
      </c>
      <c r="X1351">
        <f t="shared" si="43"/>
        <v>2532.15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42"/>
        <v>49+ months</v>
      </c>
      <c r="X1352">
        <f t="shared" si="43"/>
        <v>4398.55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42"/>
        <v>0-12 months</v>
      </c>
      <c r="X1353">
        <f t="shared" si="43"/>
        <v>224.95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42"/>
        <v>49+ months</v>
      </c>
      <c r="X1354">
        <f t="shared" si="43"/>
        <v>4388.4000000000005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42"/>
        <v>49+ months</v>
      </c>
      <c r="X1355">
        <f t="shared" si="43"/>
        <v>1343.1000000000001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42"/>
        <v>37-48 months</v>
      </c>
      <c r="X1356">
        <f t="shared" si="43"/>
        <v>1590.3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42"/>
        <v>0-12 months</v>
      </c>
      <c r="X1357">
        <f t="shared" si="43"/>
        <v>175.5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42"/>
        <v>0-12 months</v>
      </c>
      <c r="X1358">
        <f t="shared" si="43"/>
        <v>676.80000000000007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42"/>
        <v>37-48 months</v>
      </c>
      <c r="X1359">
        <f t="shared" si="43"/>
        <v>5349.6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42"/>
        <v>0-12 months</v>
      </c>
      <c r="X1360">
        <f t="shared" si="43"/>
        <v>701.5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42"/>
        <v>0-12 months</v>
      </c>
      <c r="X1361">
        <f t="shared" si="43"/>
        <v>852.75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42"/>
        <v>37-48 months</v>
      </c>
      <c r="X1362">
        <f t="shared" si="43"/>
        <v>1235.6499999999999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42"/>
        <v>0-12 months</v>
      </c>
      <c r="X1363">
        <f t="shared" si="43"/>
        <v>313.8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42"/>
        <v>0-12 months</v>
      </c>
      <c r="X1364">
        <f t="shared" si="43"/>
        <v>280.8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42"/>
        <v>49+ months</v>
      </c>
      <c r="X1365">
        <f t="shared" si="43"/>
        <v>6624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42"/>
        <v>49+ months</v>
      </c>
      <c r="X1366">
        <f t="shared" si="43"/>
        <v>4360.5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42"/>
        <v>49+ months</v>
      </c>
      <c r="X1367">
        <f t="shared" si="43"/>
        <v>2421.9499999999998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42"/>
        <v>0-12 months</v>
      </c>
      <c r="X1368">
        <f t="shared" si="43"/>
        <v>856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42"/>
        <v>49+ months</v>
      </c>
      <c r="X1369">
        <f t="shared" si="43"/>
        <v>5011.1500000000005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42"/>
        <v>49+ months</v>
      </c>
      <c r="X1370">
        <f t="shared" si="43"/>
        <v>4557.6000000000004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42"/>
        <v>37-48 months</v>
      </c>
      <c r="X1371">
        <f t="shared" si="43"/>
        <v>2009.7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42"/>
        <v>37-48 months</v>
      </c>
      <c r="X1372">
        <f t="shared" si="43"/>
        <v>546.75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42"/>
        <v>0-12 months</v>
      </c>
      <c r="X1373">
        <f t="shared" si="43"/>
        <v>79.2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42"/>
        <v>37-48 months</v>
      </c>
      <c r="X1374">
        <f t="shared" si="43"/>
        <v>2191.9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42"/>
        <v>0-12 months</v>
      </c>
      <c r="X1375">
        <f t="shared" si="43"/>
        <v>19.850000000000001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42"/>
        <v>37-48 months</v>
      </c>
      <c r="X1376">
        <f t="shared" si="43"/>
        <v>3795.7499999999995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42"/>
        <v>37-48 months</v>
      </c>
      <c r="X1377">
        <f t="shared" si="43"/>
        <v>774.15000000000009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42"/>
        <v>0-12 months</v>
      </c>
      <c r="X1378">
        <f t="shared" si="43"/>
        <v>350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42"/>
        <v>49+ months</v>
      </c>
      <c r="X1379">
        <f t="shared" si="43"/>
        <v>5925.5999999999995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42"/>
        <v>49+ months</v>
      </c>
      <c r="X1380">
        <f t="shared" si="43"/>
        <v>3874.3999999999996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42"/>
        <v>49+ months</v>
      </c>
      <c r="X1381">
        <f t="shared" si="43"/>
        <v>3122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42"/>
        <v>49+ months</v>
      </c>
      <c r="X1382">
        <f t="shared" si="43"/>
        <v>6005.45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42"/>
        <v>0-12 months</v>
      </c>
      <c r="X1383">
        <f t="shared" si="43"/>
        <v>141.4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42"/>
        <v>37-48 months</v>
      </c>
      <c r="X1384">
        <f t="shared" si="43"/>
        <v>1147.7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42"/>
        <v>0-12 months</v>
      </c>
      <c r="X1385">
        <f t="shared" si="43"/>
        <v>49.95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42"/>
        <v>37-48 months</v>
      </c>
      <c r="X1386">
        <f t="shared" si="43"/>
        <v>1523.5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42"/>
        <v>37-48 months</v>
      </c>
      <c r="X1387">
        <f t="shared" si="43"/>
        <v>4920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42"/>
        <v>49+ months</v>
      </c>
      <c r="X1388">
        <f t="shared" si="43"/>
        <v>5539.2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42"/>
        <v>49+ months</v>
      </c>
      <c r="X1389">
        <f t="shared" si="43"/>
        <v>1749.6000000000001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42"/>
        <v>0-12 months</v>
      </c>
      <c r="X1390">
        <f t="shared" si="43"/>
        <v>700.2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42"/>
        <v>37-48 months</v>
      </c>
      <c r="X1391">
        <f t="shared" si="43"/>
        <v>3204.5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42"/>
        <v>49+ months</v>
      </c>
      <c r="X1392">
        <f t="shared" si="43"/>
        <v>4950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42"/>
        <v>37-48 months</v>
      </c>
      <c r="X1393">
        <f t="shared" si="43"/>
        <v>2488.1999999999998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42"/>
        <v>37-48 months</v>
      </c>
      <c r="X1394">
        <f t="shared" si="43"/>
        <v>663.30000000000007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42"/>
        <v>0-12 months</v>
      </c>
      <c r="X1395">
        <f t="shared" si="43"/>
        <v>20.350000000000001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42"/>
        <v>49+ months</v>
      </c>
      <c r="X1396">
        <f t="shared" si="43"/>
        <v>6869.5999999999995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42"/>
        <v>37-48 months</v>
      </c>
      <c r="X1397">
        <f t="shared" si="43"/>
        <v>2993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42"/>
        <v>49+ months</v>
      </c>
      <c r="X1398">
        <f t="shared" si="43"/>
        <v>6403.2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42"/>
        <v>0-12 months</v>
      </c>
      <c r="X1399">
        <f t="shared" si="43"/>
        <v>331.4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42"/>
        <v>37-48 months</v>
      </c>
      <c r="X1400">
        <f t="shared" si="43"/>
        <v>2024.3999999999999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42"/>
        <v>37-48 months</v>
      </c>
      <c r="X1401">
        <f t="shared" si="43"/>
        <v>273.7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42"/>
        <v>0-12 months</v>
      </c>
      <c r="X1402">
        <f t="shared" si="43"/>
        <v>59.849999999999994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42"/>
        <v>0-12 months</v>
      </c>
      <c r="X1403">
        <f t="shared" si="43"/>
        <v>399.2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42"/>
        <v>37-48 months</v>
      </c>
      <c r="X1404">
        <f t="shared" si="43"/>
        <v>630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42"/>
        <v>0-12 months</v>
      </c>
      <c r="X1405">
        <f t="shared" si="43"/>
        <v>530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42"/>
        <v>37-48 months</v>
      </c>
      <c r="X1406">
        <f t="shared" si="43"/>
        <v>815.5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42"/>
        <v>0-12 months</v>
      </c>
      <c r="X1407">
        <f t="shared" si="43"/>
        <v>76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42"/>
        <v>49+ months</v>
      </c>
      <c r="X1408">
        <f t="shared" si="43"/>
        <v>1669.8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42"/>
        <v>0-12 months</v>
      </c>
      <c r="X1409">
        <f t="shared" si="43"/>
        <v>356.4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42"/>
        <v>49+ months</v>
      </c>
      <c r="X1410">
        <f t="shared" si="43"/>
        <v>7391.0999999999995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44">IF(F1411&lt;=12,"0-12 months",
IF(A1411&lt;=24,"13-24 months",
IF(A1411&lt;=36,"25-36 months",
IF(F1411&lt;=48,"37-48 months","49+ months"))))</f>
        <v>37-48 months</v>
      </c>
      <c r="X1411">
        <f t="shared" ref="X1411:X1474" si="45">S1411 * F1411</f>
        <v>3979.65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44"/>
        <v>0-12 months</v>
      </c>
      <c r="X1412">
        <f t="shared" si="45"/>
        <v>187.7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44"/>
        <v>37-48 months</v>
      </c>
      <c r="X1413">
        <f t="shared" si="45"/>
        <v>2942.05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44"/>
        <v>37-48 months</v>
      </c>
      <c r="X1414">
        <f t="shared" si="45"/>
        <v>1264.5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44"/>
        <v>49+ months</v>
      </c>
      <c r="X1415">
        <f t="shared" si="45"/>
        <v>6145.75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44"/>
        <v>37-48 months</v>
      </c>
      <c r="X1416">
        <f t="shared" si="45"/>
        <v>3342.5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44"/>
        <v>49+ months</v>
      </c>
      <c r="X1417">
        <f t="shared" si="45"/>
        <v>6419.2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44"/>
        <v>49+ months</v>
      </c>
      <c r="X1418">
        <f t="shared" si="45"/>
        <v>3219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44"/>
        <v>37-48 months</v>
      </c>
      <c r="X1419">
        <f t="shared" si="45"/>
        <v>897.30000000000007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44"/>
        <v>49+ months</v>
      </c>
      <c r="X1420">
        <f t="shared" si="45"/>
        <v>5999.8499999999995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44"/>
        <v>49+ months</v>
      </c>
      <c r="X1421">
        <f t="shared" si="45"/>
        <v>1206.4499999999998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44"/>
        <v>49+ months</v>
      </c>
      <c r="X1422">
        <f t="shared" si="45"/>
        <v>5988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44"/>
        <v>0-12 months</v>
      </c>
      <c r="X1423">
        <f t="shared" si="45"/>
        <v>759.6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44"/>
        <v>49+ months</v>
      </c>
      <c r="X1424">
        <f t="shared" si="45"/>
        <v>7913.5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44"/>
        <v>37-48 months</v>
      </c>
      <c r="X1425">
        <f t="shared" si="45"/>
        <v>1516.5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44"/>
        <v>37-48 months</v>
      </c>
      <c r="X1426">
        <f t="shared" si="45"/>
        <v>957.59999999999991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44"/>
        <v>0-12 months</v>
      </c>
      <c r="X1427">
        <f t="shared" si="45"/>
        <v>889.80000000000007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44"/>
        <v>49+ months</v>
      </c>
      <c r="X1428">
        <f t="shared" si="45"/>
        <v>6532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44"/>
        <v>37-48 months</v>
      </c>
      <c r="X1429">
        <f t="shared" si="45"/>
        <v>3249.3999999999996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44"/>
        <v>0-12 months</v>
      </c>
      <c r="X1430">
        <f t="shared" si="45"/>
        <v>50.45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44"/>
        <v>37-48 months</v>
      </c>
      <c r="X1431">
        <f t="shared" si="45"/>
        <v>1100.25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44"/>
        <v>37-48 months</v>
      </c>
      <c r="X1432">
        <f t="shared" si="45"/>
        <v>570.4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44"/>
        <v>37-48 months</v>
      </c>
      <c r="X1433">
        <f t="shared" si="45"/>
        <v>2788.5499999999997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44"/>
        <v>37-48 months</v>
      </c>
      <c r="X1434">
        <f t="shared" si="45"/>
        <v>726.25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44"/>
        <v>0-12 months</v>
      </c>
      <c r="X1435">
        <f t="shared" si="45"/>
        <v>620.55000000000007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44"/>
        <v>0-12 months</v>
      </c>
      <c r="X1436">
        <f t="shared" si="45"/>
        <v>1199.4000000000001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44"/>
        <v>49+ months</v>
      </c>
      <c r="X1437">
        <f t="shared" si="45"/>
        <v>7111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44"/>
        <v>0-12 months</v>
      </c>
      <c r="X1438">
        <f t="shared" si="45"/>
        <v>182.8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44"/>
        <v>37-48 months</v>
      </c>
      <c r="X1439">
        <f t="shared" si="45"/>
        <v>1323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44"/>
        <v>37-48 months</v>
      </c>
      <c r="X1440">
        <f t="shared" si="45"/>
        <v>2010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44"/>
        <v>0-12 months</v>
      </c>
      <c r="X1441">
        <f t="shared" si="45"/>
        <v>377.75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44"/>
        <v>0-12 months</v>
      </c>
      <c r="X1442">
        <f t="shared" si="45"/>
        <v>159.19999999999999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44"/>
        <v>49+ months</v>
      </c>
      <c r="X1443">
        <f t="shared" si="45"/>
        <v>5672.4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44"/>
        <v>49+ months</v>
      </c>
      <c r="X1444">
        <f t="shared" si="45"/>
        <v>5215.5999999999995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44"/>
        <v>0-12 months</v>
      </c>
      <c r="X1445">
        <f t="shared" si="45"/>
        <v>167.39999999999998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44"/>
        <v>37-48 months</v>
      </c>
      <c r="X1446">
        <f t="shared" si="45"/>
        <v>4557.1500000000005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44"/>
        <v>37-48 months</v>
      </c>
      <c r="X1447">
        <f t="shared" si="45"/>
        <v>1971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44"/>
        <v>0-12 months</v>
      </c>
      <c r="X1448">
        <f t="shared" si="45"/>
        <v>50.05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44"/>
        <v>0-12 months</v>
      </c>
      <c r="X1449">
        <f t="shared" si="45"/>
        <v>323.2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44"/>
        <v>37-48 months</v>
      </c>
      <c r="X1450">
        <f t="shared" si="45"/>
        <v>479.55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44"/>
        <v>0-12 months</v>
      </c>
      <c r="X1451">
        <f t="shared" si="45"/>
        <v>117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44"/>
        <v>0-12 months</v>
      </c>
      <c r="X1452">
        <f t="shared" si="45"/>
        <v>154.80000000000001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44"/>
        <v>37-48 months</v>
      </c>
      <c r="X1453">
        <f t="shared" si="45"/>
        <v>1251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44"/>
        <v>49+ months</v>
      </c>
      <c r="X1454">
        <f t="shared" si="45"/>
        <v>2537.6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44"/>
        <v>37-48 months</v>
      </c>
      <c r="X1455">
        <f t="shared" si="45"/>
        <v>2929.5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44"/>
        <v>37-48 months</v>
      </c>
      <c r="X1456">
        <f t="shared" si="45"/>
        <v>598.84999999999991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44"/>
        <v>37-48 months</v>
      </c>
      <c r="X1457">
        <f t="shared" si="45"/>
        <v>3817.7999999999997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44"/>
        <v>37-48 months</v>
      </c>
      <c r="X1458">
        <f t="shared" si="45"/>
        <v>1600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44"/>
        <v>37-48 months</v>
      </c>
      <c r="X1459">
        <f t="shared" si="45"/>
        <v>4548.5999999999995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44"/>
        <v>0-12 months</v>
      </c>
      <c r="X1460">
        <f t="shared" si="45"/>
        <v>20.55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44"/>
        <v>49+ months</v>
      </c>
      <c r="X1461">
        <f t="shared" si="45"/>
        <v>5979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44"/>
        <v>0-12 months</v>
      </c>
      <c r="X1462">
        <f t="shared" si="45"/>
        <v>426.5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44"/>
        <v>37-48 months</v>
      </c>
      <c r="X1463">
        <f t="shared" si="45"/>
        <v>2109.8000000000002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44"/>
        <v>37-48 months</v>
      </c>
      <c r="X1464">
        <f t="shared" si="45"/>
        <v>720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44"/>
        <v>0-12 months</v>
      </c>
      <c r="X1465">
        <f t="shared" si="45"/>
        <v>281.60000000000002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44"/>
        <v>0-12 months</v>
      </c>
      <c r="X1466">
        <f t="shared" si="45"/>
        <v>584.55000000000007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44"/>
        <v>0-12 months</v>
      </c>
      <c r="X1467">
        <f t="shared" si="45"/>
        <v>74.599999999999994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44"/>
        <v>0-12 months</v>
      </c>
      <c r="X1468">
        <f t="shared" si="45"/>
        <v>590.40000000000009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44"/>
        <v>37-48 months</v>
      </c>
      <c r="X1469">
        <f t="shared" si="45"/>
        <v>1696.25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44"/>
        <v>49+ months</v>
      </c>
      <c r="X1470">
        <f t="shared" si="45"/>
        <v>5722.5999999999995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44"/>
        <v>37-48 months</v>
      </c>
      <c r="X1471">
        <f t="shared" si="45"/>
        <v>3655.6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44"/>
        <v>0-12 months</v>
      </c>
      <c r="X1472">
        <f t="shared" si="45"/>
        <v>153.6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44"/>
        <v>37-48 months</v>
      </c>
      <c r="X1473">
        <f t="shared" si="45"/>
        <v>2748.15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44"/>
        <v>37-48 months</v>
      </c>
      <c r="X1474">
        <f t="shared" si="45"/>
        <v>967.2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46">IF(F1475&lt;=12,"0-12 months",
IF(A1475&lt;=24,"13-24 months",
IF(A1475&lt;=36,"25-36 months",
IF(F1475&lt;=48,"37-48 months","49+ months"))))</f>
        <v>37-48 months</v>
      </c>
      <c r="X1475">
        <f t="shared" ref="X1475:X1538" si="47">S1475 * F1475</f>
        <v>2370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46"/>
        <v>37-48 months</v>
      </c>
      <c r="X1476">
        <f t="shared" si="47"/>
        <v>4317.75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46"/>
        <v>49+ months</v>
      </c>
      <c r="X1477">
        <f t="shared" si="47"/>
        <v>7272.6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46"/>
        <v>0-12 months</v>
      </c>
      <c r="X1478">
        <f t="shared" si="47"/>
        <v>40.5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46"/>
        <v>49+ months</v>
      </c>
      <c r="X1479">
        <f t="shared" si="47"/>
        <v>6466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46"/>
        <v>37-48 months</v>
      </c>
      <c r="X1480">
        <f t="shared" si="47"/>
        <v>4292.7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46"/>
        <v>37-48 months</v>
      </c>
      <c r="X1481">
        <f t="shared" si="47"/>
        <v>2158.1999999999998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46"/>
        <v>37-48 months</v>
      </c>
      <c r="X1482">
        <f t="shared" si="47"/>
        <v>1386.4499999999998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46"/>
        <v>49+ months</v>
      </c>
      <c r="X1483">
        <f t="shared" si="47"/>
        <v>4687.2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46"/>
        <v>37-48 months</v>
      </c>
      <c r="X1484">
        <f t="shared" si="47"/>
        <v>1259.05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46"/>
        <v>49+ months</v>
      </c>
      <c r="X1485">
        <f t="shared" si="47"/>
        <v>3557.25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46"/>
        <v>49+ months</v>
      </c>
      <c r="X1486">
        <f t="shared" si="47"/>
        <v>7043.2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46"/>
        <v>37-48 months</v>
      </c>
      <c r="X1487">
        <f t="shared" si="47"/>
        <v>2127.4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46"/>
        <v>0-12 months</v>
      </c>
      <c r="X1488">
        <f t="shared" si="47"/>
        <v>110.1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46"/>
        <v>49+ months</v>
      </c>
      <c r="X1489">
        <f t="shared" si="47"/>
        <v>5980.8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46"/>
        <v>0-12 months</v>
      </c>
      <c r="X1490">
        <f t="shared" si="47"/>
        <v>51.25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46"/>
        <v>37-48 months</v>
      </c>
      <c r="X1491">
        <f t="shared" si="47"/>
        <v>1328.25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46"/>
        <v>49+ months</v>
      </c>
      <c r="X1492">
        <f t="shared" si="47"/>
        <v>4676.0999999999995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46"/>
        <v>0-12 months</v>
      </c>
      <c r="X1493">
        <f t="shared" si="47"/>
        <v>19.55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46"/>
        <v>37-48 months</v>
      </c>
      <c r="X1494">
        <f t="shared" si="47"/>
        <v>1675.8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46"/>
        <v>0-12 months</v>
      </c>
      <c r="X1495">
        <f t="shared" si="47"/>
        <v>874.5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46"/>
        <v>0-12 months</v>
      </c>
      <c r="X1496">
        <f t="shared" si="47"/>
        <v>158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46"/>
        <v>49+ months</v>
      </c>
      <c r="X1497">
        <f t="shared" si="47"/>
        <v>5103.8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46"/>
        <v>0-12 months</v>
      </c>
      <c r="X1498">
        <f t="shared" si="47"/>
        <v>60.75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46"/>
        <v>49+ months</v>
      </c>
      <c r="X1499">
        <f t="shared" si="47"/>
        <v>4036.65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46"/>
        <v>37-48 months</v>
      </c>
      <c r="X1500">
        <f t="shared" si="47"/>
        <v>1134.75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46"/>
        <v>49+ months</v>
      </c>
      <c r="X1501">
        <f t="shared" si="47"/>
        <v>6032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46"/>
        <v>37-48 months</v>
      </c>
      <c r="X1502">
        <f t="shared" si="47"/>
        <v>1487.4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46"/>
        <v>37-48 months</v>
      </c>
      <c r="X1503">
        <f t="shared" si="47"/>
        <v>259.34999999999997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46"/>
        <v>49+ months</v>
      </c>
      <c r="X1504">
        <f t="shared" si="47"/>
        <v>2712.15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46"/>
        <v>37-48 months</v>
      </c>
      <c r="X1505">
        <f t="shared" si="47"/>
        <v>4596.75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46"/>
        <v>37-48 months</v>
      </c>
      <c r="X1506">
        <f t="shared" si="47"/>
        <v>1279.8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46"/>
        <v>0-12 months</v>
      </c>
      <c r="X1507">
        <f t="shared" si="47"/>
        <v>74.7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46"/>
        <v>49+ months</v>
      </c>
      <c r="X1508">
        <f t="shared" si="47"/>
        <v>3678.8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46"/>
        <v>49+ months</v>
      </c>
      <c r="X1509">
        <f t="shared" si="47"/>
        <v>1061.0999999999999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46"/>
        <v>37-48 months</v>
      </c>
      <c r="X1510">
        <f t="shared" si="47"/>
        <v>2034.3500000000001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46"/>
        <v>37-48 months</v>
      </c>
      <c r="X1511">
        <f t="shared" si="47"/>
        <v>1303.0500000000002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46"/>
        <v>49+ months</v>
      </c>
      <c r="X1512">
        <f t="shared" si="47"/>
        <v>5708.4000000000005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46"/>
        <v>49+ months</v>
      </c>
      <c r="X1513">
        <f t="shared" si="47"/>
        <v>1289.75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46"/>
        <v>37-48 months</v>
      </c>
      <c r="X1514">
        <f t="shared" si="47"/>
        <v>1187.2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46"/>
        <v>0-12 months</v>
      </c>
      <c r="X1515">
        <f t="shared" si="47"/>
        <v>25.8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46"/>
        <v>49+ months</v>
      </c>
      <c r="X1516">
        <f t="shared" si="47"/>
        <v>1228.5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46"/>
        <v>37-48 months</v>
      </c>
      <c r="X1517">
        <f t="shared" si="47"/>
        <v>2812.6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46"/>
        <v>37-48 months</v>
      </c>
      <c r="X1518">
        <f t="shared" si="47"/>
        <v>1574.1999999999998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46"/>
        <v>49+ months</v>
      </c>
      <c r="X1519">
        <f t="shared" si="47"/>
        <v>5630.8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46"/>
        <v>0-12 months</v>
      </c>
      <c r="X1520">
        <f t="shared" si="47"/>
        <v>102.75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46"/>
        <v>0-12 months</v>
      </c>
      <c r="X1521">
        <f t="shared" si="47"/>
        <v>85.2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46"/>
        <v>0-12 months</v>
      </c>
      <c r="X1522">
        <f t="shared" si="47"/>
        <v>58.800000000000004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46"/>
        <v>37-48 months</v>
      </c>
      <c r="X1523">
        <f t="shared" si="47"/>
        <v>2495.65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46"/>
        <v>37-48 months</v>
      </c>
      <c r="X1524">
        <f t="shared" si="47"/>
        <v>1996.6499999999999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46"/>
        <v>0-12 months</v>
      </c>
      <c r="X1525">
        <f t="shared" si="47"/>
        <v>348.4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46"/>
        <v>49+ months</v>
      </c>
      <c r="X1526">
        <f t="shared" si="47"/>
        <v>6920.5499999999993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46"/>
        <v>0-12 months</v>
      </c>
      <c r="X1527">
        <f t="shared" si="47"/>
        <v>144.54999999999998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46"/>
        <v>0-12 months</v>
      </c>
      <c r="X1528">
        <f t="shared" si="47"/>
        <v>286.20000000000005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46"/>
        <v>49+ months</v>
      </c>
      <c r="X1529">
        <f t="shared" si="47"/>
        <v>1512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46"/>
        <v>37-48 months</v>
      </c>
      <c r="X1530">
        <f t="shared" si="47"/>
        <v>1067.8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46"/>
        <v>49+ months</v>
      </c>
      <c r="X1531">
        <f t="shared" si="47"/>
        <v>1085.5999999999999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46"/>
        <v>0-12 months</v>
      </c>
      <c r="X1532">
        <f t="shared" si="47"/>
        <v>180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46"/>
        <v>37-48 months</v>
      </c>
      <c r="X1533">
        <f t="shared" si="47"/>
        <v>901.25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46"/>
        <v>37-48 months</v>
      </c>
      <c r="X1534">
        <f t="shared" si="47"/>
        <v>274.40000000000003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46"/>
        <v>37-48 months</v>
      </c>
      <c r="X1535">
        <f t="shared" si="47"/>
        <v>1054.8999999999999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46"/>
        <v>49+ months</v>
      </c>
      <c r="X1536">
        <f t="shared" si="47"/>
        <v>1366.2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46"/>
        <v>0-12 months</v>
      </c>
      <c r="X1537">
        <f t="shared" si="47"/>
        <v>449.40000000000003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46"/>
        <v>49+ months</v>
      </c>
      <c r="X1538">
        <f t="shared" si="47"/>
        <v>5226.75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48">IF(F1539&lt;=12,"0-12 months",
IF(A1539&lt;=24,"13-24 months",
IF(A1539&lt;=36,"25-36 months",
IF(F1539&lt;=48,"37-48 months","49+ months"))))</f>
        <v>49+ months</v>
      </c>
      <c r="X1539">
        <f t="shared" ref="X1539:X1602" si="49">S1539 * F1539</f>
        <v>5684.4000000000005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48"/>
        <v>0-12 months</v>
      </c>
      <c r="X1540">
        <f t="shared" si="49"/>
        <v>806.8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48"/>
        <v>0-12 months</v>
      </c>
      <c r="X1541">
        <f t="shared" si="49"/>
        <v>201.2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48"/>
        <v>49+ months</v>
      </c>
      <c r="X1542">
        <f t="shared" si="49"/>
        <v>5058.8999999999996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48"/>
        <v>49+ months</v>
      </c>
      <c r="X1543">
        <f t="shared" si="49"/>
        <v>1429.2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48"/>
        <v>37-48 months</v>
      </c>
      <c r="X1544">
        <f t="shared" si="49"/>
        <v>970.6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48"/>
        <v>0-12 months</v>
      </c>
      <c r="X1545">
        <f t="shared" si="49"/>
        <v>349.75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48"/>
        <v>37-48 months</v>
      </c>
      <c r="X1546">
        <f t="shared" si="49"/>
        <v>1500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48"/>
        <v>49+ months</v>
      </c>
      <c r="X1547">
        <f t="shared" si="49"/>
        <v>6599.25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48"/>
        <v>49+ months</v>
      </c>
      <c r="X1548">
        <f t="shared" si="49"/>
        <v>1191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48"/>
        <v>49+ months</v>
      </c>
      <c r="X1549">
        <f t="shared" si="49"/>
        <v>6772.5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48"/>
        <v>37-48 months</v>
      </c>
      <c r="X1550">
        <f t="shared" si="49"/>
        <v>2147.5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48"/>
        <v>0-12 months</v>
      </c>
      <c r="X1551">
        <f t="shared" si="49"/>
        <v>45.85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48"/>
        <v>0-12 months</v>
      </c>
      <c r="X1552">
        <f t="shared" si="49"/>
        <v>484.79999999999995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48"/>
        <v>37-48 months</v>
      </c>
      <c r="X1553">
        <f t="shared" si="49"/>
        <v>555.5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48"/>
        <v>37-48 months</v>
      </c>
      <c r="X1554">
        <f t="shared" si="49"/>
        <v>2497.0499999999997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48"/>
        <v>37-48 months</v>
      </c>
      <c r="X1555">
        <f t="shared" si="49"/>
        <v>3178.5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48"/>
        <v>37-48 months</v>
      </c>
      <c r="X1556">
        <f t="shared" si="49"/>
        <v>543.4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48"/>
        <v>49+ months</v>
      </c>
      <c r="X1557">
        <f t="shared" si="49"/>
        <v>5623.2999999999993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48"/>
        <v>0-12 months</v>
      </c>
      <c r="X1558">
        <f t="shared" si="49"/>
        <v>91.7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48"/>
        <v>0-12 months</v>
      </c>
      <c r="X1559">
        <f t="shared" si="49"/>
        <v>807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48"/>
        <v>37-48 months</v>
      </c>
      <c r="X1560">
        <f t="shared" si="49"/>
        <v>1529.6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48"/>
        <v>0-12 months</v>
      </c>
      <c r="X1561">
        <f t="shared" si="49"/>
        <v>40.700000000000003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48"/>
        <v>37-48 months</v>
      </c>
      <c r="X1562">
        <f t="shared" si="49"/>
        <v>1756.9499999999998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48"/>
        <v>0-12 months</v>
      </c>
      <c r="X1563">
        <f t="shared" si="49"/>
        <v>74.95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48"/>
        <v>0-12 months</v>
      </c>
      <c r="X1564">
        <f t="shared" si="49"/>
        <v>242.54999999999998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48"/>
        <v>0-12 months</v>
      </c>
      <c r="X1565">
        <f t="shared" si="49"/>
        <v>277.39999999999998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48"/>
        <v>0-12 months</v>
      </c>
      <c r="X1566">
        <f t="shared" si="49"/>
        <v>953.5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48"/>
        <v>49+ months</v>
      </c>
      <c r="X1567">
        <f t="shared" si="49"/>
        <v>4485.25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48"/>
        <v>49+ months</v>
      </c>
      <c r="X1568">
        <f t="shared" si="49"/>
        <v>5428.8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48"/>
        <v>0-12 months</v>
      </c>
      <c r="X1569">
        <f t="shared" si="49"/>
        <v>678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48"/>
        <v>0-12 months</v>
      </c>
      <c r="X1570">
        <f t="shared" si="49"/>
        <v>1225.4000000000001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48"/>
        <v>37-48 months</v>
      </c>
      <c r="X1571">
        <f t="shared" si="49"/>
        <v>694.5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48"/>
        <v>37-48 months</v>
      </c>
      <c r="X1572">
        <f t="shared" si="49"/>
        <v>469.2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48"/>
        <v>0-12 months</v>
      </c>
      <c r="X1573">
        <f t="shared" si="49"/>
        <v>20.05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48"/>
        <v>0-12 months</v>
      </c>
      <c r="X1574">
        <f t="shared" si="49"/>
        <v>135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48"/>
        <v>37-48 months</v>
      </c>
      <c r="X1575">
        <f t="shared" si="49"/>
        <v>4516.7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48"/>
        <v>37-48 months</v>
      </c>
      <c r="X1576">
        <f t="shared" si="49"/>
        <v>294.75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48"/>
        <v>49+ months</v>
      </c>
      <c r="X1577">
        <f t="shared" si="49"/>
        <v>6567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48"/>
        <v>49+ months</v>
      </c>
      <c r="X1578">
        <f t="shared" si="49"/>
        <v>4124.2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48"/>
        <v>37-48 months</v>
      </c>
      <c r="X1579">
        <f t="shared" si="49"/>
        <v>1676.1999999999998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48"/>
        <v>0-12 months</v>
      </c>
      <c r="X1580">
        <f t="shared" si="49"/>
        <v>416.5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48"/>
        <v>0-12 months</v>
      </c>
      <c r="X1581">
        <f t="shared" si="49"/>
        <v>965.40000000000009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48"/>
        <v>37-48 months</v>
      </c>
      <c r="X1582">
        <f t="shared" si="49"/>
        <v>1505.7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48"/>
        <v>37-48 months</v>
      </c>
      <c r="X1583">
        <f t="shared" si="49"/>
        <v>756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48"/>
        <v>49+ months</v>
      </c>
      <c r="X1584">
        <f t="shared" si="49"/>
        <v>3651.2000000000003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48"/>
        <v>0-12 months</v>
      </c>
      <c r="X1585">
        <f t="shared" si="49"/>
        <v>293.70000000000005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48"/>
        <v>49+ months</v>
      </c>
      <c r="X1586">
        <f t="shared" si="49"/>
        <v>3477.5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48"/>
        <v>37-48 months</v>
      </c>
      <c r="X1587">
        <f t="shared" si="49"/>
        <v>3378.9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48"/>
        <v>49+ months</v>
      </c>
      <c r="X1588">
        <f t="shared" si="49"/>
        <v>7415.4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48"/>
        <v>37-48 months</v>
      </c>
      <c r="X1589">
        <f t="shared" si="49"/>
        <v>1262.4000000000001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48"/>
        <v>49+ months</v>
      </c>
      <c r="X1590">
        <f t="shared" si="49"/>
        <v>5340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48"/>
        <v>0-12 months</v>
      </c>
      <c r="X1591">
        <f t="shared" si="49"/>
        <v>454.65000000000003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48"/>
        <v>49+ months</v>
      </c>
      <c r="X1592">
        <f t="shared" si="49"/>
        <v>1219.0500000000002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48"/>
        <v>37-48 months</v>
      </c>
      <c r="X1593">
        <f t="shared" si="49"/>
        <v>358.70000000000005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48"/>
        <v>37-48 months</v>
      </c>
      <c r="X1594">
        <f t="shared" si="49"/>
        <v>3273.9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48"/>
        <v>0-12 months</v>
      </c>
      <c r="X1595">
        <f t="shared" si="49"/>
        <v>75.400000000000006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48"/>
        <v>49+ months</v>
      </c>
      <c r="X1596">
        <f t="shared" si="49"/>
        <v>1612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48"/>
        <v>0-12 months</v>
      </c>
      <c r="X1597">
        <f t="shared" si="49"/>
        <v>149.4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48"/>
        <v>0-12 months</v>
      </c>
      <c r="X1598">
        <f t="shared" si="49"/>
        <v>140.69999999999999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48"/>
        <v>37-48 months</v>
      </c>
      <c r="X1599">
        <f t="shared" si="49"/>
        <v>4651.2000000000007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48"/>
        <v>37-48 months</v>
      </c>
      <c r="X1600">
        <f t="shared" si="49"/>
        <v>527.85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48"/>
        <v>49+ months</v>
      </c>
      <c r="X1601">
        <f t="shared" si="49"/>
        <v>5628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48"/>
        <v>0-12 months</v>
      </c>
      <c r="X1602">
        <f t="shared" si="49"/>
        <v>88.8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50">IF(F1603&lt;=12,"0-12 months",
IF(A1603&lt;=24,"13-24 months",
IF(A1603&lt;=36,"25-36 months",
IF(F1603&lt;=48,"37-48 months","49+ months"))))</f>
        <v>37-48 months</v>
      </c>
      <c r="X1603">
        <f t="shared" ref="X1603:X1666" si="51">S1603 * F1603</f>
        <v>4353.9000000000005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50"/>
        <v>37-48 months</v>
      </c>
      <c r="X1604">
        <f t="shared" si="51"/>
        <v>2707.5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50"/>
        <v>37-48 months</v>
      </c>
      <c r="X1605">
        <f t="shared" si="51"/>
        <v>969.75000000000011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50"/>
        <v>49+ months</v>
      </c>
      <c r="X1606">
        <f t="shared" si="51"/>
        <v>6606.75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50"/>
        <v>49+ months</v>
      </c>
      <c r="X1607">
        <f t="shared" si="51"/>
        <v>1270.75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50"/>
        <v>49+ months</v>
      </c>
      <c r="X1608">
        <f t="shared" si="51"/>
        <v>7495.2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50"/>
        <v>37-48 months</v>
      </c>
      <c r="X1609">
        <f t="shared" si="51"/>
        <v>1157.6499999999999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50"/>
        <v>37-48 months</v>
      </c>
      <c r="X1610">
        <f t="shared" si="51"/>
        <v>341.70000000000005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50"/>
        <v>49+ months</v>
      </c>
      <c r="X1611">
        <f t="shared" si="51"/>
        <v>5689.05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50"/>
        <v>49+ months</v>
      </c>
      <c r="X1612">
        <f t="shared" si="51"/>
        <v>3085.5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50"/>
        <v>49+ months</v>
      </c>
      <c r="X1613">
        <f t="shared" si="51"/>
        <v>6548.4000000000005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50"/>
        <v>49+ months</v>
      </c>
      <c r="X1614">
        <f t="shared" si="51"/>
        <v>5855.8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50"/>
        <v>37-48 months</v>
      </c>
      <c r="X1615">
        <f t="shared" si="51"/>
        <v>669.8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50"/>
        <v>49+ months</v>
      </c>
      <c r="X1616">
        <f t="shared" si="51"/>
        <v>3413.65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50"/>
        <v>49+ months</v>
      </c>
      <c r="X1617">
        <f t="shared" si="51"/>
        <v>982.45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50"/>
        <v>49+ months</v>
      </c>
      <c r="X1618">
        <f t="shared" si="51"/>
        <v>1028.1999999999998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50"/>
        <v>37-48 months</v>
      </c>
      <c r="X1619">
        <f t="shared" si="51"/>
        <v>1605.15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50"/>
        <v>37-48 months</v>
      </c>
      <c r="X1620">
        <f t="shared" si="51"/>
        <v>2179.25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50"/>
        <v>49+ months</v>
      </c>
      <c r="X1621">
        <f t="shared" si="51"/>
        <v>5623.5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50"/>
        <v>0-12 months</v>
      </c>
      <c r="X1622">
        <f t="shared" si="51"/>
        <v>58.1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50"/>
        <v>37-48 months</v>
      </c>
      <c r="X1623">
        <f t="shared" si="51"/>
        <v>3025.75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50"/>
        <v>37-48 months</v>
      </c>
      <c r="X1624">
        <f t="shared" si="51"/>
        <v>3247.6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50"/>
        <v>49+ months</v>
      </c>
      <c r="X1625">
        <f t="shared" si="51"/>
        <v>5248.8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50"/>
        <v>49+ months</v>
      </c>
      <c r="X1626">
        <f t="shared" si="51"/>
        <v>5502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50"/>
        <v>0-12 months</v>
      </c>
      <c r="X1627">
        <f t="shared" si="51"/>
        <v>681.75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50"/>
        <v>37-48 months</v>
      </c>
      <c r="X1628">
        <f t="shared" si="51"/>
        <v>1184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50"/>
        <v>0-12 months</v>
      </c>
      <c r="X1629">
        <f t="shared" si="51"/>
        <v>834.90000000000009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50"/>
        <v>37-48 months</v>
      </c>
      <c r="X1630">
        <f t="shared" si="51"/>
        <v>2701.5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50"/>
        <v>49+ months</v>
      </c>
      <c r="X1631">
        <f t="shared" si="51"/>
        <v>4824.6000000000004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50"/>
        <v>37-48 months</v>
      </c>
      <c r="X1632">
        <f t="shared" si="51"/>
        <v>3898.7999999999997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50"/>
        <v>37-48 months</v>
      </c>
      <c r="X1633">
        <f t="shared" si="51"/>
        <v>1450.9499999999998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50"/>
        <v>37-48 months</v>
      </c>
      <c r="X1634">
        <f t="shared" si="51"/>
        <v>5092.7999999999993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50"/>
        <v>0-12 months</v>
      </c>
      <c r="X1635">
        <f t="shared" si="51"/>
        <v>43.8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50"/>
        <v>49+ months</v>
      </c>
      <c r="X1636">
        <f t="shared" si="51"/>
        <v>3717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50"/>
        <v>0-12 months</v>
      </c>
      <c r="X1637">
        <f t="shared" si="51"/>
        <v>209.85000000000002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50"/>
        <v>37-48 months</v>
      </c>
      <c r="X1638">
        <f t="shared" si="51"/>
        <v>1168.8000000000002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50"/>
        <v>49+ months</v>
      </c>
      <c r="X1639">
        <f t="shared" si="51"/>
        <v>1943.7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50"/>
        <v>49+ months</v>
      </c>
      <c r="X1640">
        <f t="shared" si="51"/>
        <v>5739.2000000000007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50"/>
        <v>37-48 months</v>
      </c>
      <c r="X1641">
        <f t="shared" si="51"/>
        <v>765.84999999999991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50"/>
        <v>0-12 months</v>
      </c>
      <c r="X1642">
        <f t="shared" si="51"/>
        <v>144.54999999999998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50"/>
        <v>49+ months</v>
      </c>
      <c r="X1643">
        <f t="shared" si="51"/>
        <v>6271.2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50"/>
        <v>37-48 months</v>
      </c>
      <c r="X1644">
        <f t="shared" si="51"/>
        <v>575.65000000000009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50"/>
        <v>37-48 months</v>
      </c>
      <c r="X1645">
        <f t="shared" si="51"/>
        <v>3342.95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50"/>
        <v>37-48 months</v>
      </c>
      <c r="X1646">
        <f t="shared" si="51"/>
        <v>3733.2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50"/>
        <v>37-48 months</v>
      </c>
      <c r="X1647">
        <f t="shared" si="51"/>
        <v>3555.3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50"/>
        <v>49+ months</v>
      </c>
      <c r="X1648">
        <f t="shared" si="51"/>
        <v>3864.5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50"/>
        <v>0-12 months</v>
      </c>
      <c r="X1649">
        <f t="shared" si="51"/>
        <v>874.5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50"/>
        <v>49+ months</v>
      </c>
      <c r="X1650">
        <f t="shared" si="51"/>
        <v>4857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50"/>
        <v>37-48 months</v>
      </c>
      <c r="X1651">
        <f t="shared" si="51"/>
        <v>1516.05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50"/>
        <v>0-12 months</v>
      </c>
      <c r="X1652">
        <f t="shared" si="51"/>
        <v>85.8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50"/>
        <v>0-12 months</v>
      </c>
      <c r="X1653">
        <f t="shared" si="51"/>
        <v>79.099999999999994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50"/>
        <v>37-48 months</v>
      </c>
      <c r="X1654">
        <f t="shared" si="51"/>
        <v>584.79999999999995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50"/>
        <v>49+ months</v>
      </c>
      <c r="X1655">
        <f t="shared" si="51"/>
        <v>1203.5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50"/>
        <v>0-12 months</v>
      </c>
      <c r="X1656">
        <f t="shared" si="51"/>
        <v>18.8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50"/>
        <v>0-12 months</v>
      </c>
      <c r="X1657">
        <f t="shared" si="51"/>
        <v>132.89999999999998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50"/>
        <v>49+ months</v>
      </c>
      <c r="X1658">
        <f t="shared" si="51"/>
        <v>4812.3999999999996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50"/>
        <v>37-48 months</v>
      </c>
      <c r="X1659">
        <f t="shared" si="51"/>
        <v>896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50"/>
        <v>49+ months</v>
      </c>
      <c r="X1660">
        <f t="shared" si="51"/>
        <v>5297.5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50"/>
        <v>49+ months</v>
      </c>
      <c r="X1661">
        <f t="shared" si="51"/>
        <v>4814.3999999999996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50"/>
        <v>37-48 months</v>
      </c>
      <c r="X1662">
        <f t="shared" si="51"/>
        <v>1193.8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50"/>
        <v>49+ months</v>
      </c>
      <c r="X1663">
        <f t="shared" si="51"/>
        <v>7072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50"/>
        <v>0-12 months</v>
      </c>
      <c r="X1664">
        <f t="shared" si="51"/>
        <v>348.75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50"/>
        <v>49+ months</v>
      </c>
      <c r="X1665">
        <f t="shared" si="51"/>
        <v>4827.1500000000005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50"/>
        <v>37-48 months</v>
      </c>
      <c r="X1666">
        <f t="shared" si="51"/>
        <v>4418.3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52">IF(F1667&lt;=12,"0-12 months",
IF(A1667&lt;=24,"13-24 months",
IF(A1667&lt;=36,"25-36 months",
IF(F1667&lt;=48,"37-48 months","49+ months"))))</f>
        <v>0-12 months</v>
      </c>
      <c r="X1667">
        <f t="shared" ref="X1667:X1730" si="53">S1667 * F1667</f>
        <v>691.65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52"/>
        <v>0-12 months</v>
      </c>
      <c r="X1668">
        <f t="shared" si="53"/>
        <v>162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52"/>
        <v>37-48 months</v>
      </c>
      <c r="X1669">
        <f t="shared" si="53"/>
        <v>347.2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52"/>
        <v>37-48 months</v>
      </c>
      <c r="X1670">
        <f t="shared" si="53"/>
        <v>5204.25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52"/>
        <v>0-12 months</v>
      </c>
      <c r="X1671">
        <f t="shared" si="53"/>
        <v>596.79999999999995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52"/>
        <v>0-12 months</v>
      </c>
      <c r="X1672">
        <f t="shared" si="53"/>
        <v>50.15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52"/>
        <v>49+ months</v>
      </c>
      <c r="X1673">
        <f t="shared" si="53"/>
        <v>6807.9000000000005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52"/>
        <v>49+ months</v>
      </c>
      <c r="X1674">
        <f t="shared" si="53"/>
        <v>5191.2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52"/>
        <v>37-48 months</v>
      </c>
      <c r="X1675">
        <f t="shared" si="53"/>
        <v>4657.5999999999995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52"/>
        <v>37-48 months</v>
      </c>
      <c r="X1676">
        <f t="shared" si="53"/>
        <v>577.30000000000007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52"/>
        <v>37-48 months</v>
      </c>
      <c r="X1677">
        <f t="shared" si="53"/>
        <v>2288.1000000000004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52"/>
        <v>0-12 months</v>
      </c>
      <c r="X1678">
        <f t="shared" si="53"/>
        <v>320.60000000000002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52"/>
        <v>0-12 months</v>
      </c>
      <c r="X1679">
        <f t="shared" si="53"/>
        <v>152.39999999999998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52"/>
        <v>49+ months</v>
      </c>
      <c r="X1680">
        <f t="shared" si="53"/>
        <v>7061.8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52"/>
        <v>0-12 months</v>
      </c>
      <c r="X1681">
        <f t="shared" si="53"/>
        <v>320.25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52"/>
        <v>49+ months</v>
      </c>
      <c r="X1682">
        <f t="shared" si="53"/>
        <v>1369.2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52"/>
        <v>49+ months</v>
      </c>
      <c r="X1683">
        <f t="shared" si="53"/>
        <v>1800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52"/>
        <v>49+ months</v>
      </c>
      <c r="X1684">
        <f t="shared" si="53"/>
        <v>6138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52"/>
        <v>37-48 months</v>
      </c>
      <c r="X1685">
        <f t="shared" si="53"/>
        <v>450.8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52"/>
        <v>37-48 months</v>
      </c>
      <c r="X1686">
        <f t="shared" si="53"/>
        <v>1755.25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52"/>
        <v>37-48 months</v>
      </c>
      <c r="X1687">
        <f t="shared" si="53"/>
        <v>1904.85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52"/>
        <v>37-48 months</v>
      </c>
      <c r="X1688">
        <f t="shared" si="53"/>
        <v>1561.3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52"/>
        <v>0-12 months</v>
      </c>
      <c r="X1689">
        <f t="shared" si="53"/>
        <v>316.79999999999995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52"/>
        <v>37-48 months</v>
      </c>
      <c r="X1690">
        <f t="shared" si="53"/>
        <v>806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52"/>
        <v>0-12 months</v>
      </c>
      <c r="X1691">
        <f t="shared" si="53"/>
        <v>411.95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52"/>
        <v>49+ months</v>
      </c>
      <c r="X1692">
        <f t="shared" si="53"/>
        <v>6828.5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52"/>
        <v>49+ months</v>
      </c>
      <c r="X1693">
        <f t="shared" si="53"/>
        <v>1179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52"/>
        <v>37-48 months</v>
      </c>
      <c r="X1694">
        <f t="shared" si="53"/>
        <v>984.75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52"/>
        <v>49+ months</v>
      </c>
      <c r="X1695">
        <f t="shared" si="53"/>
        <v>8240.4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52"/>
        <v>0-12 months</v>
      </c>
      <c r="X1696">
        <f t="shared" si="53"/>
        <v>34.700000000000003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52"/>
        <v>49+ months</v>
      </c>
      <c r="X1697">
        <f t="shared" si="53"/>
        <v>3817.8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52"/>
        <v>0-12 months</v>
      </c>
      <c r="X1698">
        <f t="shared" si="53"/>
        <v>255.89999999999998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52"/>
        <v>49+ months</v>
      </c>
      <c r="X1699">
        <f t="shared" si="53"/>
        <v>4759.6499999999996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52"/>
        <v>49+ months</v>
      </c>
      <c r="X1700">
        <f t="shared" si="53"/>
        <v>6020.8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52"/>
        <v>37-48 months</v>
      </c>
      <c r="X1701">
        <f t="shared" si="53"/>
        <v>867.3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52"/>
        <v>37-48 months</v>
      </c>
      <c r="X1702">
        <f t="shared" si="53"/>
        <v>961.15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52"/>
        <v>49+ months</v>
      </c>
      <c r="X1703">
        <f t="shared" si="53"/>
        <v>6761.7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52"/>
        <v>37-48 months</v>
      </c>
      <c r="X1704">
        <f t="shared" si="53"/>
        <v>2192.4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52"/>
        <v>0-12 months</v>
      </c>
      <c r="X1705">
        <f t="shared" si="53"/>
        <v>392.15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52"/>
        <v>0-12 months</v>
      </c>
      <c r="X1706">
        <f t="shared" si="53"/>
        <v>99.75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52"/>
        <v>49+ months</v>
      </c>
      <c r="X1707">
        <f t="shared" si="53"/>
        <v>4974.75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52"/>
        <v>49+ months</v>
      </c>
      <c r="X1708">
        <f t="shared" si="53"/>
        <v>6737.85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52"/>
        <v>0-12 months</v>
      </c>
      <c r="X1709">
        <f t="shared" si="53"/>
        <v>221.54999999999998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52"/>
        <v>0-12 months</v>
      </c>
      <c r="X1710">
        <f t="shared" si="53"/>
        <v>297.60000000000002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52"/>
        <v>37-48 months</v>
      </c>
      <c r="X1711">
        <f t="shared" si="53"/>
        <v>2073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52"/>
        <v>0-12 months</v>
      </c>
      <c r="X1712">
        <f t="shared" si="53"/>
        <v>413.75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52"/>
        <v>49+ months</v>
      </c>
      <c r="X1713">
        <f t="shared" si="53"/>
        <v>1732.3999999999999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52"/>
        <v>37-48 months</v>
      </c>
      <c r="X1714">
        <f t="shared" si="53"/>
        <v>1602.25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52"/>
        <v>49+ months</v>
      </c>
      <c r="X1715">
        <f t="shared" si="53"/>
        <v>3190.2000000000003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52"/>
        <v>49+ months</v>
      </c>
      <c r="X1716">
        <f t="shared" si="53"/>
        <v>5219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52"/>
        <v>37-48 months</v>
      </c>
      <c r="X1717">
        <f t="shared" si="53"/>
        <v>892.4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52"/>
        <v>0-12 months</v>
      </c>
      <c r="X1718">
        <f t="shared" si="53"/>
        <v>438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52"/>
        <v>49+ months</v>
      </c>
      <c r="X1719">
        <f t="shared" si="53"/>
        <v>1418.3999999999999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52"/>
        <v>37-48 months</v>
      </c>
      <c r="X1720">
        <f t="shared" si="53"/>
        <v>338.29999999999995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52"/>
        <v>0-12 months</v>
      </c>
      <c r="X1721">
        <f t="shared" si="53"/>
        <v>323.85000000000002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52"/>
        <v>0-12 months</v>
      </c>
      <c r="X1722">
        <f t="shared" si="53"/>
        <v>167.6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52"/>
        <v>0-12 months</v>
      </c>
      <c r="X1723">
        <f t="shared" si="53"/>
        <v>668.25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52"/>
        <v>49+ months</v>
      </c>
      <c r="X1724">
        <f t="shared" si="53"/>
        <v>2876.4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52"/>
        <v>0-12 months</v>
      </c>
      <c r="X1725">
        <f t="shared" si="53"/>
        <v>120.60000000000001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52"/>
        <v>0-12 months</v>
      </c>
      <c r="X1726">
        <f t="shared" si="53"/>
        <v>284.70000000000005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52"/>
        <v>37-48 months</v>
      </c>
      <c r="X1727">
        <f t="shared" si="53"/>
        <v>1601.4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52"/>
        <v>37-48 months</v>
      </c>
      <c r="X1728">
        <f t="shared" si="53"/>
        <v>1497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52"/>
        <v>37-48 months</v>
      </c>
      <c r="X1729">
        <f t="shared" si="53"/>
        <v>2202.5499999999997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52"/>
        <v>37-48 months</v>
      </c>
      <c r="X1730">
        <f t="shared" si="53"/>
        <v>3674.2500000000005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54">IF(F1731&lt;=12,"0-12 months",
IF(A1731&lt;=24,"13-24 months",
IF(A1731&lt;=36,"25-36 months",
IF(F1731&lt;=48,"37-48 months","49+ months"))))</f>
        <v>49+ months</v>
      </c>
      <c r="X1731">
        <f t="shared" ref="X1731:X1794" si="55">S1731 * F1731</f>
        <v>5724.8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54"/>
        <v>0-12 months</v>
      </c>
      <c r="X1732">
        <f t="shared" si="55"/>
        <v>59.85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54"/>
        <v>0-12 months</v>
      </c>
      <c r="X1733">
        <f t="shared" si="55"/>
        <v>69.599999999999994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54"/>
        <v>49+ months</v>
      </c>
      <c r="X1734">
        <f t="shared" si="55"/>
        <v>6039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54"/>
        <v>0-12 months</v>
      </c>
      <c r="X1735">
        <f t="shared" si="55"/>
        <v>19.05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54"/>
        <v>0-12 months</v>
      </c>
      <c r="X1736">
        <f t="shared" si="55"/>
        <v>408.59999999999997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54"/>
        <v>49+ months</v>
      </c>
      <c r="X1737">
        <f t="shared" si="55"/>
        <v>8240.4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54"/>
        <v>0-12 months</v>
      </c>
      <c r="X1738">
        <f t="shared" si="55"/>
        <v>19.5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54"/>
        <v>0-12 months</v>
      </c>
      <c r="X1739">
        <f t="shared" si="55"/>
        <v>309.75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54"/>
        <v>49+ months</v>
      </c>
      <c r="X1740">
        <f t="shared" si="55"/>
        <v>5976.3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54"/>
        <v>0-12 months</v>
      </c>
      <c r="X1741">
        <f t="shared" si="55"/>
        <v>69.900000000000006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54"/>
        <v>37-48 months</v>
      </c>
      <c r="X1742">
        <f t="shared" si="55"/>
        <v>816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54"/>
        <v>37-48 months</v>
      </c>
      <c r="X1743">
        <f t="shared" si="55"/>
        <v>1142.4000000000001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54"/>
        <v>0-12 months</v>
      </c>
      <c r="X1744">
        <f t="shared" si="55"/>
        <v>174.3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54"/>
        <v>49+ months</v>
      </c>
      <c r="X1745">
        <f t="shared" si="55"/>
        <v>1664.95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54"/>
        <v>37-48 months</v>
      </c>
      <c r="X1746">
        <f t="shared" si="55"/>
        <v>4282.45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54"/>
        <v>49+ months</v>
      </c>
      <c r="X1747">
        <f t="shared" si="55"/>
        <v>1108.8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54"/>
        <v>49+ months</v>
      </c>
      <c r="X1748">
        <f t="shared" si="55"/>
        <v>8384.4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54"/>
        <v>0-12 months</v>
      </c>
      <c r="X1749">
        <f t="shared" si="55"/>
        <v>254.25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54"/>
        <v>49+ months</v>
      </c>
      <c r="X1750">
        <f t="shared" si="55"/>
        <v>1082.7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54"/>
        <v>49+ months</v>
      </c>
      <c r="X1751">
        <f t="shared" si="55"/>
        <v>5759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54"/>
        <v>49+ months</v>
      </c>
      <c r="X1752">
        <f t="shared" si="55"/>
        <v>4485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54"/>
        <v>37-48 months</v>
      </c>
      <c r="X1753">
        <f t="shared" si="55"/>
        <v>1259.3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54"/>
        <v>37-48 months</v>
      </c>
      <c r="X1754">
        <f t="shared" si="55"/>
        <v>1314.9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54"/>
        <v>49+ months</v>
      </c>
      <c r="X1755">
        <f t="shared" si="55"/>
        <v>6955.2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54"/>
        <v>49+ months</v>
      </c>
      <c r="X1756">
        <f t="shared" si="55"/>
        <v>4606.5999999999995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54"/>
        <v>0-12 months</v>
      </c>
      <c r="X1757">
        <f t="shared" si="55"/>
        <v>651.59999999999991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54"/>
        <v>37-48 months</v>
      </c>
      <c r="X1758">
        <f t="shared" si="55"/>
        <v>3293.3999999999996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54"/>
        <v>49+ months</v>
      </c>
      <c r="X1759">
        <f t="shared" si="55"/>
        <v>4317.3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54"/>
        <v>49+ months</v>
      </c>
      <c r="X1760">
        <f t="shared" si="55"/>
        <v>1363.4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54"/>
        <v>37-48 months</v>
      </c>
      <c r="X1761">
        <f t="shared" si="55"/>
        <v>388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54"/>
        <v>49+ months</v>
      </c>
      <c r="X1762">
        <f t="shared" si="55"/>
        <v>2745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54"/>
        <v>49+ months</v>
      </c>
      <c r="X1763">
        <f t="shared" si="55"/>
        <v>1418.1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54"/>
        <v>37-48 months</v>
      </c>
      <c r="X1764">
        <f t="shared" si="55"/>
        <v>3137.75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54"/>
        <v>0-12 months</v>
      </c>
      <c r="X1765">
        <f t="shared" si="55"/>
        <v>90.8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54"/>
        <v>49+ months</v>
      </c>
      <c r="X1766">
        <f t="shared" si="55"/>
        <v>4769.1000000000004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54"/>
        <v>49+ months</v>
      </c>
      <c r="X1767">
        <f t="shared" si="55"/>
        <v>6417.7000000000007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54"/>
        <v>37-48 months</v>
      </c>
      <c r="X1768">
        <f t="shared" si="55"/>
        <v>554.85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54"/>
        <v>49+ months</v>
      </c>
      <c r="X1769">
        <f t="shared" si="55"/>
        <v>8175.6500000000005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54"/>
        <v>49+ months</v>
      </c>
      <c r="X1770">
        <f t="shared" si="55"/>
        <v>3688.6499999999996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54"/>
        <v>49+ months</v>
      </c>
      <c r="X1771">
        <f t="shared" si="55"/>
        <v>6620.75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54"/>
        <v>37-48 months</v>
      </c>
      <c r="X1772">
        <f t="shared" si="55"/>
        <v>4641.2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54"/>
        <v>37-48 months</v>
      </c>
      <c r="X1773">
        <f t="shared" si="55"/>
        <v>1176.5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54"/>
        <v>0-12 months</v>
      </c>
      <c r="X1774">
        <f t="shared" si="55"/>
        <v>158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54"/>
        <v>49+ months</v>
      </c>
      <c r="X1775">
        <f t="shared" si="55"/>
        <v>1315.8000000000002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54"/>
        <v>0-12 months</v>
      </c>
      <c r="X1776">
        <f t="shared" si="55"/>
        <v>48.75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54"/>
        <v>49+ months</v>
      </c>
      <c r="X1777">
        <f t="shared" si="55"/>
        <v>7088.25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54"/>
        <v>49+ months</v>
      </c>
      <c r="X1778">
        <f t="shared" si="55"/>
        <v>1800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54"/>
        <v>37-48 months</v>
      </c>
      <c r="X1779">
        <f t="shared" si="55"/>
        <v>1537.2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54"/>
        <v>49+ months</v>
      </c>
      <c r="X1780">
        <f t="shared" si="55"/>
        <v>1782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54"/>
        <v>0-12 months</v>
      </c>
      <c r="X1781">
        <f t="shared" si="55"/>
        <v>182.3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54"/>
        <v>37-48 months</v>
      </c>
      <c r="X1782">
        <f t="shared" si="55"/>
        <v>362.7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54"/>
        <v>49+ months</v>
      </c>
      <c r="X1783">
        <f t="shared" si="55"/>
        <v>6261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54"/>
        <v>37-48 months</v>
      </c>
      <c r="X1784">
        <f t="shared" si="55"/>
        <v>1717.3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54"/>
        <v>0-12 months</v>
      </c>
      <c r="X1785">
        <f t="shared" si="55"/>
        <v>71.650000000000006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54"/>
        <v>0-12 months</v>
      </c>
      <c r="X1786">
        <f t="shared" si="55"/>
        <v>81.400000000000006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54"/>
        <v>49+ months</v>
      </c>
      <c r="X1787">
        <f t="shared" si="55"/>
        <v>6269.6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54"/>
        <v>37-48 months</v>
      </c>
      <c r="X1788">
        <f t="shared" si="55"/>
        <v>3201.5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54"/>
        <v>37-48 months</v>
      </c>
      <c r="X1789">
        <f t="shared" si="55"/>
        <v>4418.4000000000005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54"/>
        <v>49+ months</v>
      </c>
      <c r="X1790">
        <f t="shared" si="55"/>
        <v>1117.2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54"/>
        <v>49+ months</v>
      </c>
      <c r="X1791">
        <f t="shared" si="55"/>
        <v>1641.6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54"/>
        <v>0-12 months</v>
      </c>
      <c r="X1792">
        <f t="shared" si="55"/>
        <v>937.19999999999993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54"/>
        <v>37-48 months</v>
      </c>
      <c r="X1793">
        <f t="shared" si="55"/>
        <v>2706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54"/>
        <v>37-48 months</v>
      </c>
      <c r="X1794">
        <f t="shared" si="55"/>
        <v>2914.8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56">IF(F1795&lt;=12,"0-12 months",
IF(A1795&lt;=24,"13-24 months",
IF(A1795&lt;=36,"25-36 months",
IF(F1795&lt;=48,"37-48 months","49+ months"))))</f>
        <v>49+ months</v>
      </c>
      <c r="X1795">
        <f t="shared" ref="X1795:X1858" si="57">S1795 * F1795</f>
        <v>1782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56"/>
        <v>49+ months</v>
      </c>
      <c r="X1796">
        <f t="shared" si="57"/>
        <v>6464.55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56"/>
        <v>37-48 months</v>
      </c>
      <c r="X1797">
        <f t="shared" si="57"/>
        <v>1703.3500000000001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56"/>
        <v>37-48 months</v>
      </c>
      <c r="X1798">
        <f t="shared" si="57"/>
        <v>1693.95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56"/>
        <v>37-48 months</v>
      </c>
      <c r="X1799">
        <f t="shared" si="57"/>
        <v>582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56"/>
        <v>37-48 months</v>
      </c>
      <c r="X1800">
        <f t="shared" si="57"/>
        <v>917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56"/>
        <v>0-12 months</v>
      </c>
      <c r="X1801">
        <f t="shared" si="57"/>
        <v>987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56"/>
        <v>0-12 months</v>
      </c>
      <c r="X1802">
        <f t="shared" si="57"/>
        <v>43.85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56"/>
        <v>37-48 months</v>
      </c>
      <c r="X1803">
        <f t="shared" si="57"/>
        <v>1533.4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56"/>
        <v>0-12 months</v>
      </c>
      <c r="X1804">
        <f t="shared" si="57"/>
        <v>269.84999999999997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56"/>
        <v>37-48 months</v>
      </c>
      <c r="X1805">
        <f t="shared" si="57"/>
        <v>1911.6000000000001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56"/>
        <v>37-48 months</v>
      </c>
      <c r="X1806">
        <f t="shared" si="57"/>
        <v>702.09999999999991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56"/>
        <v>49+ months</v>
      </c>
      <c r="X1807">
        <f t="shared" si="57"/>
        <v>4640.4000000000005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56"/>
        <v>37-48 months</v>
      </c>
      <c r="X1808">
        <f t="shared" si="57"/>
        <v>903.6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56"/>
        <v>0-12 months</v>
      </c>
      <c r="X1809">
        <f t="shared" si="57"/>
        <v>76.349999999999994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56"/>
        <v>37-48 months</v>
      </c>
      <c r="X1810">
        <f t="shared" si="57"/>
        <v>1820.45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56"/>
        <v>37-48 months</v>
      </c>
      <c r="X1811">
        <f t="shared" si="57"/>
        <v>2720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56"/>
        <v>49+ months</v>
      </c>
      <c r="X1812">
        <f t="shared" si="57"/>
        <v>6755.6500000000005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56"/>
        <v>37-48 months</v>
      </c>
      <c r="X1813">
        <f t="shared" si="57"/>
        <v>1825.05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56"/>
        <v>37-48 months</v>
      </c>
      <c r="X1814">
        <f t="shared" si="57"/>
        <v>1643.0500000000002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56"/>
        <v>0-12 months</v>
      </c>
      <c r="X1815">
        <f t="shared" si="57"/>
        <v>75.5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56"/>
        <v>0-12 months</v>
      </c>
      <c r="X1816">
        <f t="shared" si="57"/>
        <v>236.39999999999998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56"/>
        <v>49+ months</v>
      </c>
      <c r="X1817">
        <f t="shared" si="57"/>
        <v>1476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56"/>
        <v>0-12 months</v>
      </c>
      <c r="X1818">
        <f t="shared" si="57"/>
        <v>19.2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56"/>
        <v>49+ months</v>
      </c>
      <c r="X1819">
        <f t="shared" si="57"/>
        <v>7081.2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56"/>
        <v>49+ months</v>
      </c>
      <c r="X1820">
        <f t="shared" si="57"/>
        <v>4461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56"/>
        <v>49+ months</v>
      </c>
      <c r="X1821">
        <f t="shared" si="57"/>
        <v>3132.35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56"/>
        <v>0-12 months</v>
      </c>
      <c r="X1822">
        <f t="shared" si="57"/>
        <v>273.89999999999998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56"/>
        <v>37-48 months</v>
      </c>
      <c r="X1823">
        <f t="shared" si="57"/>
        <v>2729.6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56"/>
        <v>37-48 months</v>
      </c>
      <c r="X1824">
        <f t="shared" si="57"/>
        <v>2683.0499999999997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56"/>
        <v>37-48 months</v>
      </c>
      <c r="X1825">
        <f t="shared" si="57"/>
        <v>1403.1499999999999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56"/>
        <v>49+ months</v>
      </c>
      <c r="X1826">
        <f t="shared" si="57"/>
        <v>1461.6000000000001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56"/>
        <v>37-48 months</v>
      </c>
      <c r="X1827">
        <f t="shared" si="57"/>
        <v>1734.4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56"/>
        <v>49+ months</v>
      </c>
      <c r="X1828">
        <f t="shared" si="57"/>
        <v>5892.25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56"/>
        <v>37-48 months</v>
      </c>
      <c r="X1829">
        <f t="shared" si="57"/>
        <v>2290.5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56"/>
        <v>37-48 months</v>
      </c>
      <c r="X1830">
        <f t="shared" si="57"/>
        <v>1052.1000000000001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56"/>
        <v>0-12 months</v>
      </c>
      <c r="X1831">
        <f t="shared" si="57"/>
        <v>598.79999999999995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56"/>
        <v>37-48 months</v>
      </c>
      <c r="X1832">
        <f t="shared" si="57"/>
        <v>656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56"/>
        <v>37-48 months</v>
      </c>
      <c r="X1833">
        <f t="shared" si="57"/>
        <v>1398.1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56"/>
        <v>49+ months</v>
      </c>
      <c r="X1834">
        <f t="shared" si="57"/>
        <v>2556.4500000000003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56"/>
        <v>0-12 months</v>
      </c>
      <c r="X1835">
        <f t="shared" si="57"/>
        <v>47.95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56"/>
        <v>0-12 months</v>
      </c>
      <c r="X1836">
        <f t="shared" si="57"/>
        <v>45.1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56"/>
        <v>0-12 months</v>
      </c>
      <c r="X1837">
        <f t="shared" si="57"/>
        <v>45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56"/>
        <v>37-48 months</v>
      </c>
      <c r="X1838">
        <f t="shared" si="57"/>
        <v>2304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56"/>
        <v>0-12 months</v>
      </c>
      <c r="X1839">
        <f t="shared" si="57"/>
        <v>20.05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56"/>
        <v>49+ months</v>
      </c>
      <c r="X1840">
        <f t="shared" si="57"/>
        <v>4862.7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56"/>
        <v>0-12 months</v>
      </c>
      <c r="X1841">
        <f t="shared" si="57"/>
        <v>101.2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56"/>
        <v>49+ months</v>
      </c>
      <c r="X1842">
        <f t="shared" si="57"/>
        <v>7062.25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56"/>
        <v>49+ months</v>
      </c>
      <c r="X1843">
        <f t="shared" si="57"/>
        <v>1360.8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56"/>
        <v>37-48 months</v>
      </c>
      <c r="X1844">
        <f t="shared" si="57"/>
        <v>3417.75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56"/>
        <v>49+ months</v>
      </c>
      <c r="X1845">
        <f t="shared" si="57"/>
        <v>1398.7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56"/>
        <v>49+ months</v>
      </c>
      <c r="X1846">
        <f t="shared" si="57"/>
        <v>3917.6000000000004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56"/>
        <v>49+ months</v>
      </c>
      <c r="X1847">
        <f t="shared" si="57"/>
        <v>2466.75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56"/>
        <v>37-48 months</v>
      </c>
      <c r="X1848">
        <f t="shared" si="57"/>
        <v>357.2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56"/>
        <v>49+ months</v>
      </c>
      <c r="X1849">
        <f t="shared" si="57"/>
        <v>1067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56"/>
        <v>37-48 months</v>
      </c>
      <c r="X1850">
        <f t="shared" si="57"/>
        <v>733.4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56"/>
        <v>0-12 months</v>
      </c>
      <c r="X1851">
        <f t="shared" si="57"/>
        <v>455.5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56"/>
        <v>37-48 months</v>
      </c>
      <c r="X1852">
        <f t="shared" si="57"/>
        <v>3170.15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56"/>
        <v>0-12 months</v>
      </c>
      <c r="X1853">
        <f t="shared" si="57"/>
        <v>70.2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56"/>
        <v>0-12 months</v>
      </c>
      <c r="X1854">
        <f t="shared" si="57"/>
        <v>46.2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56"/>
        <v>0-12 months</v>
      </c>
      <c r="X1855">
        <f t="shared" si="57"/>
        <v>45.15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56"/>
        <v>0-12 months</v>
      </c>
      <c r="X1856">
        <f t="shared" si="57"/>
        <v>43.3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56"/>
        <v>37-48 months</v>
      </c>
      <c r="X1857">
        <f t="shared" si="57"/>
        <v>924.6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56"/>
        <v>37-48 months</v>
      </c>
      <c r="X1858">
        <f t="shared" si="57"/>
        <v>2171.6999999999998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58">IF(F1859&lt;=12,"0-12 months",
IF(A1859&lt;=24,"13-24 months",
IF(A1859&lt;=36,"25-36 months",
IF(F1859&lt;=48,"37-48 months","49+ months"))))</f>
        <v>49+ months</v>
      </c>
      <c r="X1859">
        <f t="shared" ref="X1859:X1922" si="59">S1859 * F1859</f>
        <v>3828.5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58"/>
        <v>37-48 months</v>
      </c>
      <c r="X1860">
        <f t="shared" si="59"/>
        <v>1390.8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58"/>
        <v>49+ months</v>
      </c>
      <c r="X1861">
        <f t="shared" si="59"/>
        <v>4438.2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58"/>
        <v>49+ months</v>
      </c>
      <c r="X1862">
        <f t="shared" si="59"/>
        <v>1380.95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58"/>
        <v>0-12 months</v>
      </c>
      <c r="X1863">
        <f t="shared" si="59"/>
        <v>45.95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58"/>
        <v>49+ months</v>
      </c>
      <c r="X1864">
        <f t="shared" si="59"/>
        <v>2626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58"/>
        <v>0-12 months</v>
      </c>
      <c r="X1865">
        <f t="shared" si="59"/>
        <v>150.60000000000002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58"/>
        <v>37-48 months</v>
      </c>
      <c r="X1866">
        <f t="shared" si="59"/>
        <v>1578.2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58"/>
        <v>37-48 months</v>
      </c>
      <c r="X1867">
        <f t="shared" si="59"/>
        <v>4752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58"/>
        <v>49+ months</v>
      </c>
      <c r="X1868">
        <f t="shared" si="59"/>
        <v>6681.6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58"/>
        <v>0-12 months</v>
      </c>
      <c r="X1869">
        <f t="shared" si="59"/>
        <v>251.25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58"/>
        <v>0-12 months</v>
      </c>
      <c r="X1870">
        <f t="shared" si="59"/>
        <v>44.05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58"/>
        <v>49+ months</v>
      </c>
      <c r="X1871">
        <f t="shared" si="59"/>
        <v>1735.2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58"/>
        <v>0-12 months</v>
      </c>
      <c r="X1872">
        <f t="shared" si="59"/>
        <v>45.55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58"/>
        <v>49+ months</v>
      </c>
      <c r="X1873">
        <f t="shared" si="59"/>
        <v>4783.8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58"/>
        <v>37-48 months</v>
      </c>
      <c r="X1874">
        <f t="shared" si="59"/>
        <v>807.69999999999993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58"/>
        <v>49+ months</v>
      </c>
      <c r="X1875">
        <f t="shared" si="59"/>
        <v>5086.8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58"/>
        <v>37-48 months</v>
      </c>
      <c r="X1876">
        <f t="shared" si="59"/>
        <v>3717.35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58"/>
        <v>49+ months</v>
      </c>
      <c r="X1877">
        <f t="shared" si="59"/>
        <v>8215.1999999999989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58"/>
        <v>37-48 months</v>
      </c>
      <c r="X1878">
        <f t="shared" si="59"/>
        <v>4474.4000000000005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58"/>
        <v>49+ months</v>
      </c>
      <c r="X1879">
        <f t="shared" si="59"/>
        <v>6375.5999999999995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58"/>
        <v>0-12 months</v>
      </c>
      <c r="X1880">
        <f t="shared" si="59"/>
        <v>62.25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58"/>
        <v>0-12 months</v>
      </c>
      <c r="X1881">
        <f t="shared" si="59"/>
        <v>70.05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58"/>
        <v>0-12 months</v>
      </c>
      <c r="X1882">
        <f t="shared" si="59"/>
        <v>172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58"/>
        <v>37-48 months</v>
      </c>
      <c r="X1883">
        <f t="shared" si="59"/>
        <v>1160.8999999999999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58"/>
        <v>37-48 months</v>
      </c>
      <c r="X1884">
        <f t="shared" si="59"/>
        <v>1745.8000000000002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58"/>
        <v>37-48 months</v>
      </c>
      <c r="X1885">
        <f t="shared" si="59"/>
        <v>3517.5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58"/>
        <v>37-48 months</v>
      </c>
      <c r="X1886">
        <f t="shared" si="59"/>
        <v>1497.15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58"/>
        <v>37-48 months</v>
      </c>
      <c r="X1887">
        <f t="shared" si="59"/>
        <v>1687.1999999999998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58"/>
        <v>49+ months</v>
      </c>
      <c r="X1888">
        <f t="shared" si="59"/>
        <v>4046.7999999999997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58"/>
        <v>37-48 months</v>
      </c>
      <c r="X1889">
        <f t="shared" si="59"/>
        <v>1162.4000000000001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58"/>
        <v>37-48 months</v>
      </c>
      <c r="X1890">
        <f t="shared" si="59"/>
        <v>1283.3999999999999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58"/>
        <v>37-48 months</v>
      </c>
      <c r="X1891">
        <f t="shared" si="59"/>
        <v>435.40000000000003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58"/>
        <v>0-12 months</v>
      </c>
      <c r="X1892">
        <f t="shared" si="59"/>
        <v>21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58"/>
        <v>0-12 months</v>
      </c>
      <c r="X1893">
        <f t="shared" si="59"/>
        <v>45.1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58"/>
        <v>0-12 months</v>
      </c>
      <c r="X1894">
        <f t="shared" si="59"/>
        <v>203.8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58"/>
        <v>37-48 months</v>
      </c>
      <c r="X1895">
        <f t="shared" si="59"/>
        <v>1105.5999999999999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58"/>
        <v>37-48 months</v>
      </c>
      <c r="X1896">
        <f t="shared" si="59"/>
        <v>2021.7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58"/>
        <v>49+ months</v>
      </c>
      <c r="X1897">
        <f t="shared" si="59"/>
        <v>5882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58"/>
        <v>37-48 months</v>
      </c>
      <c r="X1898">
        <f t="shared" si="59"/>
        <v>2658.1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58"/>
        <v>37-48 months</v>
      </c>
      <c r="X1899">
        <f t="shared" si="59"/>
        <v>1512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58"/>
        <v>0-12 months</v>
      </c>
      <c r="X1900">
        <f t="shared" si="59"/>
        <v>394.75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58"/>
        <v>37-48 months</v>
      </c>
      <c r="X1901">
        <f t="shared" si="59"/>
        <v>1546.15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58"/>
        <v>0-12 months</v>
      </c>
      <c r="X1902">
        <f t="shared" si="59"/>
        <v>79.599999999999994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58"/>
        <v>0-12 months</v>
      </c>
      <c r="X1903">
        <f t="shared" si="59"/>
        <v>241.79999999999998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58"/>
        <v>49+ months</v>
      </c>
      <c r="X1904">
        <f t="shared" si="59"/>
        <v>6523.2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58"/>
        <v>0-12 months</v>
      </c>
      <c r="X1905">
        <f t="shared" si="59"/>
        <v>276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58"/>
        <v>49+ months</v>
      </c>
      <c r="X1906">
        <f t="shared" si="59"/>
        <v>5289.2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58"/>
        <v>37-48 months</v>
      </c>
      <c r="X1907">
        <f t="shared" si="59"/>
        <v>1018.85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58"/>
        <v>37-48 months</v>
      </c>
      <c r="X1908">
        <f t="shared" si="59"/>
        <v>1440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58"/>
        <v>0-12 months</v>
      </c>
      <c r="X1909">
        <f t="shared" si="59"/>
        <v>549.5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58"/>
        <v>49+ months</v>
      </c>
      <c r="X1910">
        <f t="shared" si="59"/>
        <v>1376.55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58"/>
        <v>0-12 months</v>
      </c>
      <c r="X1911">
        <f t="shared" si="59"/>
        <v>144.54999999999998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58"/>
        <v>0-12 months</v>
      </c>
      <c r="X1912">
        <f t="shared" si="59"/>
        <v>152.5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58"/>
        <v>49+ months</v>
      </c>
      <c r="X1913">
        <f t="shared" si="59"/>
        <v>7639.2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58"/>
        <v>37-48 months</v>
      </c>
      <c r="X1914">
        <f t="shared" si="59"/>
        <v>902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58"/>
        <v>49+ months</v>
      </c>
      <c r="X1915">
        <f t="shared" si="59"/>
        <v>6207.5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58"/>
        <v>0-12 months</v>
      </c>
      <c r="X1916">
        <f t="shared" si="59"/>
        <v>193.79999999999998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58"/>
        <v>37-48 months</v>
      </c>
      <c r="X1917">
        <f t="shared" si="59"/>
        <v>1226.4000000000001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58"/>
        <v>37-48 months</v>
      </c>
      <c r="X1918">
        <f t="shared" si="59"/>
        <v>3731.2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58"/>
        <v>49+ months</v>
      </c>
      <c r="X1919">
        <f t="shared" si="59"/>
        <v>6415.2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58"/>
        <v>37-48 months</v>
      </c>
      <c r="X1920">
        <f t="shared" si="59"/>
        <v>1318.8000000000002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58"/>
        <v>0-12 months</v>
      </c>
      <c r="X1921">
        <f t="shared" si="59"/>
        <v>50.9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58"/>
        <v>37-48 months</v>
      </c>
      <c r="X1922">
        <f t="shared" si="59"/>
        <v>449.9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60">IF(F1923&lt;=12,"0-12 months",
IF(A1923&lt;=24,"13-24 months",
IF(A1923&lt;=36,"25-36 months",
IF(F1923&lt;=48,"37-48 months","49+ months"))))</f>
        <v>49+ months</v>
      </c>
      <c r="X1923">
        <f t="shared" ref="X1923:X1986" si="61">S1923 * F1923</f>
        <v>6016.5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60"/>
        <v>37-48 months</v>
      </c>
      <c r="X1924">
        <f t="shared" si="61"/>
        <v>1508.75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60"/>
        <v>37-48 months</v>
      </c>
      <c r="X1925">
        <f t="shared" si="61"/>
        <v>732.6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60"/>
        <v>37-48 months</v>
      </c>
      <c r="X1926">
        <f t="shared" si="61"/>
        <v>1877.6999999999998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60"/>
        <v>49+ months</v>
      </c>
      <c r="X1927">
        <f t="shared" si="61"/>
        <v>4253.8999999999996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60"/>
        <v>49+ months</v>
      </c>
      <c r="X1928">
        <f t="shared" si="61"/>
        <v>4890.2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60"/>
        <v>37-48 months</v>
      </c>
      <c r="X1929">
        <f t="shared" si="61"/>
        <v>5045.45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60"/>
        <v>37-48 months</v>
      </c>
      <c r="X1930">
        <f t="shared" si="61"/>
        <v>606.05000000000007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60"/>
        <v>0-12 months</v>
      </c>
      <c r="X1931">
        <f t="shared" si="61"/>
        <v>81.05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60"/>
        <v>0-12 months</v>
      </c>
      <c r="X1932">
        <f t="shared" si="61"/>
        <v>61.5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60"/>
        <v>49+ months</v>
      </c>
      <c r="X1933">
        <f t="shared" si="61"/>
        <v>5925.4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60"/>
        <v>0-12 months</v>
      </c>
      <c r="X1934">
        <f t="shared" si="61"/>
        <v>20.2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60"/>
        <v>37-48 months</v>
      </c>
      <c r="X1935">
        <f t="shared" si="61"/>
        <v>394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60"/>
        <v>0-12 months</v>
      </c>
      <c r="X1936">
        <f t="shared" si="61"/>
        <v>237.29999999999998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60"/>
        <v>49+ months</v>
      </c>
      <c r="X1937">
        <f t="shared" si="61"/>
        <v>1012.35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60"/>
        <v>49+ months</v>
      </c>
      <c r="X1938">
        <f t="shared" si="61"/>
        <v>3085.5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60"/>
        <v>37-48 months</v>
      </c>
      <c r="X1939">
        <f t="shared" si="61"/>
        <v>254.15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60"/>
        <v>0-12 months</v>
      </c>
      <c r="X1940">
        <f t="shared" si="61"/>
        <v>20.9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60"/>
        <v>0-12 months</v>
      </c>
      <c r="X1941">
        <f t="shared" si="61"/>
        <v>21.05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60"/>
        <v>49+ months</v>
      </c>
      <c r="X1942">
        <f t="shared" si="61"/>
        <v>4504.5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60"/>
        <v>0-12 months</v>
      </c>
      <c r="X1943">
        <f t="shared" si="61"/>
        <v>163.95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60"/>
        <v>37-48 months</v>
      </c>
      <c r="X1944">
        <f t="shared" si="61"/>
        <v>883.19999999999993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60"/>
        <v>0-12 months</v>
      </c>
      <c r="X1945">
        <f t="shared" si="61"/>
        <v>49.8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60"/>
        <v>0-12 months</v>
      </c>
      <c r="X1946">
        <f t="shared" si="61"/>
        <v>204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60"/>
        <v>49+ months</v>
      </c>
      <c r="X1947">
        <f t="shared" si="61"/>
        <v>1455.5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60"/>
        <v>49+ months</v>
      </c>
      <c r="X1948">
        <f t="shared" si="61"/>
        <v>4972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60"/>
        <v>49+ months</v>
      </c>
      <c r="X1949">
        <f t="shared" si="61"/>
        <v>6317.5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60"/>
        <v>0-12 months</v>
      </c>
      <c r="X1950">
        <f t="shared" si="61"/>
        <v>161.5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60"/>
        <v>49+ months</v>
      </c>
      <c r="X1951">
        <f t="shared" si="61"/>
        <v>7008.2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60"/>
        <v>49+ months</v>
      </c>
      <c r="X1952">
        <f t="shared" si="61"/>
        <v>5970.25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60"/>
        <v>37-48 months</v>
      </c>
      <c r="X1953">
        <f t="shared" si="61"/>
        <v>702.80000000000007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60"/>
        <v>37-48 months</v>
      </c>
      <c r="X1954">
        <f t="shared" si="61"/>
        <v>1910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60"/>
        <v>0-12 months</v>
      </c>
      <c r="X1955">
        <f t="shared" si="61"/>
        <v>75.349999999999994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60"/>
        <v>0-12 months</v>
      </c>
      <c r="X1956">
        <f t="shared" si="61"/>
        <v>75.45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60"/>
        <v>49+ months</v>
      </c>
      <c r="X1957">
        <f t="shared" si="61"/>
        <v>4674.6000000000004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60"/>
        <v>49+ months</v>
      </c>
      <c r="X1958">
        <f t="shared" si="61"/>
        <v>7293.5999999999995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60"/>
        <v>37-48 months</v>
      </c>
      <c r="X1959">
        <f t="shared" si="61"/>
        <v>2442.6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60"/>
        <v>37-48 months</v>
      </c>
      <c r="X1960">
        <f t="shared" si="61"/>
        <v>2036.3999999999999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60"/>
        <v>0-12 months</v>
      </c>
      <c r="X1961">
        <f t="shared" si="61"/>
        <v>171.25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60"/>
        <v>37-48 months</v>
      </c>
      <c r="X1962">
        <f t="shared" si="61"/>
        <v>2923.7999999999997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60"/>
        <v>37-48 months</v>
      </c>
      <c r="X1963">
        <f t="shared" si="61"/>
        <v>2526.2999999999997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60"/>
        <v>37-48 months</v>
      </c>
      <c r="X1964">
        <f t="shared" si="61"/>
        <v>2298.85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60"/>
        <v>0-12 months</v>
      </c>
      <c r="X1965">
        <f t="shared" si="61"/>
        <v>565.6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60"/>
        <v>49+ months</v>
      </c>
      <c r="X1966">
        <f t="shared" si="61"/>
        <v>3616.7999999999997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60"/>
        <v>37-48 months</v>
      </c>
      <c r="X1967">
        <f t="shared" si="61"/>
        <v>1189.1999999999998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60"/>
        <v>37-48 months</v>
      </c>
      <c r="X1968">
        <f t="shared" si="61"/>
        <v>1315.1999999999998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60"/>
        <v>49+ months</v>
      </c>
      <c r="X1969">
        <f t="shared" si="61"/>
        <v>5423.4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60"/>
        <v>49+ months</v>
      </c>
      <c r="X1970">
        <f t="shared" si="61"/>
        <v>5315.9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60"/>
        <v>49+ months</v>
      </c>
      <c r="X1971">
        <f t="shared" si="61"/>
        <v>3216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60"/>
        <v>0-12 months</v>
      </c>
      <c r="X1972">
        <f t="shared" si="61"/>
        <v>567.69999999999993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60"/>
        <v>37-48 months</v>
      </c>
      <c r="X1973">
        <f t="shared" si="61"/>
        <v>387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60"/>
        <v>37-48 months</v>
      </c>
      <c r="X1974">
        <f t="shared" si="61"/>
        <v>1968.8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60"/>
        <v>49+ months</v>
      </c>
      <c r="X1975">
        <f t="shared" si="61"/>
        <v>5817.5999999999995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60"/>
        <v>0-12 months</v>
      </c>
      <c r="X1976">
        <f t="shared" si="61"/>
        <v>824.45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60"/>
        <v>37-48 months</v>
      </c>
      <c r="X1977">
        <f t="shared" si="61"/>
        <v>411.6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60"/>
        <v>0-12 months</v>
      </c>
      <c r="X1978">
        <f t="shared" si="61"/>
        <v>93.55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60"/>
        <v>37-48 months</v>
      </c>
      <c r="X1979">
        <f t="shared" si="61"/>
        <v>2811.7000000000003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60"/>
        <v>49+ months</v>
      </c>
      <c r="X1980">
        <f t="shared" si="61"/>
        <v>3975.75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60"/>
        <v>37-48 months</v>
      </c>
      <c r="X1981">
        <f t="shared" si="61"/>
        <v>900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60"/>
        <v>0-12 months</v>
      </c>
      <c r="X1982">
        <f t="shared" si="61"/>
        <v>952.5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60"/>
        <v>49+ months</v>
      </c>
      <c r="X1983">
        <f t="shared" si="61"/>
        <v>5921.7999999999993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60"/>
        <v>37-48 months</v>
      </c>
      <c r="X1984">
        <f t="shared" si="61"/>
        <v>279.3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60"/>
        <v>37-48 months</v>
      </c>
      <c r="X1985">
        <f t="shared" si="61"/>
        <v>2182.9499999999998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60"/>
        <v>37-48 months</v>
      </c>
      <c r="X1986">
        <f t="shared" si="61"/>
        <v>1272.6000000000001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62">IF(F1987&lt;=12,"0-12 months",
IF(A1987&lt;=24,"13-24 months",
IF(A1987&lt;=36,"25-36 months",
IF(F1987&lt;=48,"37-48 months","49+ months"))))</f>
        <v>0-12 months</v>
      </c>
      <c r="X1987">
        <f t="shared" ref="X1987:X2050" si="63">S1987 * F1987</f>
        <v>350.4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62"/>
        <v>49+ months</v>
      </c>
      <c r="X1988">
        <f t="shared" si="63"/>
        <v>6437.7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62"/>
        <v>37-48 months</v>
      </c>
      <c r="X1989">
        <f t="shared" si="63"/>
        <v>2228.75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62"/>
        <v>49+ months</v>
      </c>
      <c r="X1990">
        <f t="shared" si="63"/>
        <v>6313.2999999999993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62"/>
        <v>37-48 months</v>
      </c>
      <c r="X1991">
        <f t="shared" si="63"/>
        <v>1622.25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62"/>
        <v>37-48 months</v>
      </c>
      <c r="X1992">
        <f t="shared" si="63"/>
        <v>1356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62"/>
        <v>37-48 months</v>
      </c>
      <c r="X1993">
        <f t="shared" si="63"/>
        <v>3543.75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62"/>
        <v>37-48 months</v>
      </c>
      <c r="X1994">
        <f t="shared" si="63"/>
        <v>1420.35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62"/>
        <v>0-12 months</v>
      </c>
      <c r="X1995">
        <f t="shared" si="63"/>
        <v>45.7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62"/>
        <v>37-48 months</v>
      </c>
      <c r="X1996">
        <f t="shared" si="63"/>
        <v>431.20000000000005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62"/>
        <v>0-12 months</v>
      </c>
      <c r="X1997">
        <f t="shared" si="63"/>
        <v>69.95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62"/>
        <v>49+ months</v>
      </c>
      <c r="X1998">
        <f t="shared" si="63"/>
        <v>4545.95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62"/>
        <v>49+ months</v>
      </c>
      <c r="X1999">
        <f t="shared" si="63"/>
        <v>7078.55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62"/>
        <v>0-12 months</v>
      </c>
      <c r="X2000">
        <f t="shared" si="63"/>
        <v>89.2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62"/>
        <v>37-48 months</v>
      </c>
      <c r="X2001">
        <f t="shared" si="63"/>
        <v>1723.8500000000001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62"/>
        <v>0-12 months</v>
      </c>
      <c r="X2002">
        <f t="shared" si="63"/>
        <v>679.5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62"/>
        <v>0-12 months</v>
      </c>
      <c r="X2003">
        <f t="shared" si="63"/>
        <v>100.75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62"/>
        <v>49+ months</v>
      </c>
      <c r="X2004">
        <f t="shared" si="63"/>
        <v>2440.8000000000002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62"/>
        <v>49+ months</v>
      </c>
      <c r="X2005">
        <f t="shared" si="63"/>
        <v>5429.25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62"/>
        <v>37-48 months</v>
      </c>
      <c r="X2006">
        <f t="shared" si="63"/>
        <v>2156.3999999999996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62"/>
        <v>49+ months</v>
      </c>
      <c r="X2007">
        <f t="shared" si="63"/>
        <v>4922.05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62"/>
        <v>0-12 months</v>
      </c>
      <c r="X2008">
        <f t="shared" si="63"/>
        <v>235.75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62"/>
        <v>0-12 months</v>
      </c>
      <c r="X2009">
        <f t="shared" si="63"/>
        <v>160.4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62"/>
        <v>0-12 months</v>
      </c>
      <c r="X2010">
        <f t="shared" si="63"/>
        <v>348.4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62"/>
        <v>49+ months</v>
      </c>
      <c r="X2011">
        <f t="shared" si="63"/>
        <v>5547.5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62"/>
        <v>0-12 months</v>
      </c>
      <c r="X2012">
        <f t="shared" si="63"/>
        <v>379.5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62"/>
        <v>49+ months</v>
      </c>
      <c r="X2013">
        <f t="shared" si="63"/>
        <v>4542.1000000000004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62"/>
        <v>37-48 months</v>
      </c>
      <c r="X2014">
        <f t="shared" si="63"/>
        <v>4641.25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62"/>
        <v>37-48 months</v>
      </c>
      <c r="X2015">
        <f t="shared" si="63"/>
        <v>623.1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62"/>
        <v>37-48 months</v>
      </c>
      <c r="X2016">
        <f t="shared" si="63"/>
        <v>803.4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62"/>
        <v>37-48 months</v>
      </c>
      <c r="X2017">
        <f t="shared" si="63"/>
        <v>1397.2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62"/>
        <v>0-12 months</v>
      </c>
      <c r="X2018">
        <f t="shared" si="63"/>
        <v>864.5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62"/>
        <v>37-48 months</v>
      </c>
      <c r="X2019">
        <f t="shared" si="63"/>
        <v>775.19999999999993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62"/>
        <v>0-12 months</v>
      </c>
      <c r="X2020">
        <f t="shared" si="63"/>
        <v>45.3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62"/>
        <v>49+ months</v>
      </c>
      <c r="X2021">
        <f t="shared" si="63"/>
        <v>6974.7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62"/>
        <v>49+ months</v>
      </c>
      <c r="X2022">
        <f t="shared" si="63"/>
        <v>3920.8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62"/>
        <v>49+ months</v>
      </c>
      <c r="X2023">
        <f t="shared" si="63"/>
        <v>6705.3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62"/>
        <v>37-48 months</v>
      </c>
      <c r="X2024">
        <f t="shared" si="63"/>
        <v>1380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62"/>
        <v>0-12 months</v>
      </c>
      <c r="X2025">
        <f t="shared" si="63"/>
        <v>405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62"/>
        <v>0-12 months</v>
      </c>
      <c r="X2026">
        <f t="shared" si="63"/>
        <v>1148.4000000000001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62"/>
        <v>49+ months</v>
      </c>
      <c r="X2027">
        <f t="shared" si="63"/>
        <v>8413.1999999999989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62"/>
        <v>49+ months</v>
      </c>
      <c r="X2028">
        <f t="shared" si="63"/>
        <v>7508.25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62"/>
        <v>37-48 months</v>
      </c>
      <c r="X2029">
        <f t="shared" si="63"/>
        <v>483.59999999999997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62"/>
        <v>37-48 months</v>
      </c>
      <c r="X2030">
        <f t="shared" si="63"/>
        <v>294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62"/>
        <v>49+ months</v>
      </c>
      <c r="X2031">
        <f t="shared" si="63"/>
        <v>6070.2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62"/>
        <v>0-12 months</v>
      </c>
      <c r="X2032">
        <f t="shared" si="63"/>
        <v>121.9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62"/>
        <v>0-12 months</v>
      </c>
      <c r="X2033">
        <f t="shared" si="63"/>
        <v>125.25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62"/>
        <v>37-48 months</v>
      </c>
      <c r="X2034">
        <f t="shared" si="63"/>
        <v>1322.25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62"/>
        <v>0-12 months</v>
      </c>
      <c r="X2035">
        <f t="shared" si="63"/>
        <v>20.2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62"/>
        <v>37-48 months</v>
      </c>
      <c r="X2036">
        <f t="shared" si="63"/>
        <v>2472.2999999999997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62"/>
        <v>37-48 months</v>
      </c>
      <c r="X2037">
        <f t="shared" si="63"/>
        <v>2749.85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62"/>
        <v>0-12 months</v>
      </c>
      <c r="X2038">
        <f t="shared" si="63"/>
        <v>74.3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62"/>
        <v>0-12 months</v>
      </c>
      <c r="X2039">
        <f t="shared" si="63"/>
        <v>70.599999999999994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62"/>
        <v>37-48 months</v>
      </c>
      <c r="X2040">
        <f t="shared" si="63"/>
        <v>2360.7999999999997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62"/>
        <v>37-48 months</v>
      </c>
      <c r="X2041">
        <f t="shared" si="63"/>
        <v>1745.6999999999998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62"/>
        <v>49+ months</v>
      </c>
      <c r="X2042">
        <f t="shared" si="63"/>
        <v>6429.05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62"/>
        <v>0-12 months</v>
      </c>
      <c r="X2043">
        <f t="shared" si="63"/>
        <v>136.15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62"/>
        <v>37-48 months</v>
      </c>
      <c r="X2044">
        <f t="shared" si="63"/>
        <v>1804.6000000000001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62"/>
        <v>37-48 months</v>
      </c>
      <c r="X2045">
        <f t="shared" si="63"/>
        <v>1114.4000000000001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62"/>
        <v>0-12 months</v>
      </c>
      <c r="X2046">
        <f t="shared" si="63"/>
        <v>136.5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62"/>
        <v>49+ months</v>
      </c>
      <c r="X2047">
        <f t="shared" si="63"/>
        <v>7624.5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62"/>
        <v>0-12 months</v>
      </c>
      <c r="X2048">
        <f t="shared" si="63"/>
        <v>24.7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62"/>
        <v>0-12 months</v>
      </c>
      <c r="X2049">
        <f t="shared" si="63"/>
        <v>232.20000000000002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62"/>
        <v>37-48 months</v>
      </c>
      <c r="X2050">
        <f t="shared" si="63"/>
        <v>2032.8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64">IF(F2051&lt;=12,"0-12 months",
IF(A2051&lt;=24,"13-24 months",
IF(A2051&lt;=36,"25-36 months",
IF(F2051&lt;=48,"37-48 months","49+ months"))))</f>
        <v>49+ months</v>
      </c>
      <c r="X2051">
        <f t="shared" ref="X2051:X2114" si="65">S2051 * F2051</f>
        <v>5892.6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64"/>
        <v>49+ months</v>
      </c>
      <c r="X2052">
        <f t="shared" si="65"/>
        <v>3379.6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64"/>
        <v>49+ months</v>
      </c>
      <c r="X2053">
        <f t="shared" si="65"/>
        <v>1338.6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64"/>
        <v>37-48 months</v>
      </c>
      <c r="X2054">
        <f t="shared" si="65"/>
        <v>4984.7999999999993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64"/>
        <v>37-48 months</v>
      </c>
      <c r="X2055">
        <f t="shared" si="65"/>
        <v>3917.45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64"/>
        <v>0-12 months</v>
      </c>
      <c r="X2056">
        <f t="shared" si="65"/>
        <v>98.8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64"/>
        <v>37-48 months</v>
      </c>
      <c r="X2057">
        <f t="shared" si="65"/>
        <v>4880.25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64"/>
        <v>49+ months</v>
      </c>
      <c r="X2058">
        <f t="shared" si="65"/>
        <v>4131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64"/>
        <v>37-48 months</v>
      </c>
      <c r="X2059">
        <f t="shared" si="65"/>
        <v>1742.4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64"/>
        <v>49+ months</v>
      </c>
      <c r="X2060">
        <f t="shared" si="65"/>
        <v>6238.8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64"/>
        <v>37-48 months</v>
      </c>
      <c r="X2061">
        <f t="shared" si="65"/>
        <v>3439.15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64"/>
        <v>49+ months</v>
      </c>
      <c r="X2062">
        <f t="shared" si="65"/>
        <v>6414.8499999999995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64"/>
        <v>0-12 months</v>
      </c>
      <c r="X2063">
        <f t="shared" si="65"/>
        <v>340.90000000000003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64"/>
        <v>49+ months</v>
      </c>
      <c r="X2064">
        <f t="shared" si="65"/>
        <v>1659.8999999999999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64"/>
        <v>49+ months</v>
      </c>
      <c r="X2065">
        <f t="shared" si="65"/>
        <v>3896.4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64"/>
        <v>37-48 months</v>
      </c>
      <c r="X2066">
        <f t="shared" si="65"/>
        <v>586.5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64"/>
        <v>37-48 months</v>
      </c>
      <c r="X2067">
        <f t="shared" si="65"/>
        <v>2901.8999999999996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64"/>
        <v>49+ months</v>
      </c>
      <c r="X2068">
        <f t="shared" si="65"/>
        <v>1587.2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64"/>
        <v>49+ months</v>
      </c>
      <c r="X2069">
        <f t="shared" si="65"/>
        <v>6704.75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64"/>
        <v>37-48 months</v>
      </c>
      <c r="X2070">
        <f t="shared" si="65"/>
        <v>4735.25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64"/>
        <v>0-12 months</v>
      </c>
      <c r="X2071">
        <f t="shared" si="65"/>
        <v>95.6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64"/>
        <v>49+ months</v>
      </c>
      <c r="X2072">
        <f t="shared" si="65"/>
        <v>2927.75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64"/>
        <v>49+ months</v>
      </c>
      <c r="X2073">
        <f t="shared" si="65"/>
        <v>6304.7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64"/>
        <v>37-48 months</v>
      </c>
      <c r="X2074">
        <f t="shared" si="65"/>
        <v>754.65000000000009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64"/>
        <v>37-48 months</v>
      </c>
      <c r="X2075">
        <f t="shared" si="65"/>
        <v>278.59999999999997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64"/>
        <v>37-48 months</v>
      </c>
      <c r="X2076">
        <f t="shared" si="65"/>
        <v>4650.45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64"/>
        <v>49+ months</v>
      </c>
      <c r="X2077">
        <f t="shared" si="65"/>
        <v>5658.8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64"/>
        <v>37-48 months</v>
      </c>
      <c r="X2078">
        <f t="shared" si="65"/>
        <v>827.4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64"/>
        <v>0-12 months</v>
      </c>
      <c r="X2079">
        <f t="shared" si="65"/>
        <v>71.349999999999994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64"/>
        <v>37-48 months</v>
      </c>
      <c r="X2080">
        <f t="shared" si="65"/>
        <v>893.6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64"/>
        <v>49+ months</v>
      </c>
      <c r="X2081">
        <f t="shared" si="65"/>
        <v>7423.5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64"/>
        <v>49+ months</v>
      </c>
      <c r="X2082">
        <f t="shared" si="65"/>
        <v>6055.2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64"/>
        <v>37-48 months</v>
      </c>
      <c r="X2083">
        <f t="shared" si="65"/>
        <v>1731.8999999999999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64"/>
        <v>37-48 months</v>
      </c>
      <c r="X2084">
        <f t="shared" si="65"/>
        <v>518.69999999999993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64"/>
        <v>0-12 months</v>
      </c>
      <c r="X2085">
        <f t="shared" si="65"/>
        <v>20.149999999999999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64"/>
        <v>0-12 months</v>
      </c>
      <c r="X2086">
        <f t="shared" si="65"/>
        <v>69.75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64"/>
        <v>37-48 months</v>
      </c>
      <c r="X2087">
        <f t="shared" si="65"/>
        <v>2982.4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64"/>
        <v>37-48 months</v>
      </c>
      <c r="X2088">
        <f t="shared" si="65"/>
        <v>1374.4499999999998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64"/>
        <v>0-12 months</v>
      </c>
      <c r="X2089">
        <f t="shared" si="65"/>
        <v>134.6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64"/>
        <v>37-48 months</v>
      </c>
      <c r="X2090">
        <f t="shared" si="65"/>
        <v>2008.8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64"/>
        <v>49+ months</v>
      </c>
      <c r="X2091">
        <f t="shared" si="65"/>
        <v>1985.0000000000002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64"/>
        <v>37-48 months</v>
      </c>
      <c r="X2092">
        <f t="shared" si="65"/>
        <v>1416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64"/>
        <v>49+ months</v>
      </c>
      <c r="X2093">
        <f t="shared" si="65"/>
        <v>1007.4999999999999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64"/>
        <v>49+ months</v>
      </c>
      <c r="X2094">
        <f t="shared" si="65"/>
        <v>5727.5999999999995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64"/>
        <v>0-12 months</v>
      </c>
      <c r="X2095">
        <f t="shared" si="65"/>
        <v>248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64"/>
        <v>37-48 months</v>
      </c>
      <c r="X2096">
        <f t="shared" si="65"/>
        <v>353.7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64"/>
        <v>0-12 months</v>
      </c>
      <c r="X2097">
        <f t="shared" si="65"/>
        <v>79.95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64"/>
        <v>0-12 months</v>
      </c>
      <c r="X2098">
        <f t="shared" si="65"/>
        <v>19.3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64"/>
        <v>0-12 months</v>
      </c>
      <c r="X2099">
        <f t="shared" si="65"/>
        <v>846.44999999999993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64"/>
        <v>0-12 months</v>
      </c>
      <c r="X2100">
        <f t="shared" si="65"/>
        <v>181.5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64"/>
        <v>37-48 months</v>
      </c>
      <c r="X2101">
        <f t="shared" si="65"/>
        <v>3154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64"/>
        <v>49+ months</v>
      </c>
      <c r="X2102">
        <f t="shared" si="65"/>
        <v>6865.5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64"/>
        <v>37-48 months</v>
      </c>
      <c r="X2103">
        <f t="shared" si="65"/>
        <v>3670.4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64"/>
        <v>37-48 months</v>
      </c>
      <c r="X2104">
        <f t="shared" si="65"/>
        <v>1449.8999999999999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64"/>
        <v>0-12 months</v>
      </c>
      <c r="X2105">
        <f t="shared" si="65"/>
        <v>772.2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64"/>
        <v>0-12 months</v>
      </c>
      <c r="X2106">
        <f t="shared" si="65"/>
        <v>681.6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64"/>
        <v>0-12 months</v>
      </c>
      <c r="X2107">
        <f t="shared" si="65"/>
        <v>225.75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64"/>
        <v>49+ months</v>
      </c>
      <c r="X2108">
        <f t="shared" si="65"/>
        <v>3269.75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64"/>
        <v>37-48 months</v>
      </c>
      <c r="X2109">
        <f t="shared" si="65"/>
        <v>3080.5499999999997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64"/>
        <v>37-48 months</v>
      </c>
      <c r="X2110">
        <f t="shared" si="65"/>
        <v>2067.7000000000003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64"/>
        <v>37-48 months</v>
      </c>
      <c r="X2111">
        <f t="shared" si="65"/>
        <v>887.40000000000009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64"/>
        <v>0-12 months</v>
      </c>
      <c r="X2112">
        <f t="shared" si="65"/>
        <v>60.599999999999994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64"/>
        <v>37-48 months</v>
      </c>
      <c r="X2113">
        <f t="shared" si="65"/>
        <v>637.5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64"/>
        <v>37-48 months</v>
      </c>
      <c r="X2114">
        <f t="shared" si="65"/>
        <v>1960.2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66">IF(F2115&lt;=12,"0-12 months",
IF(A2115&lt;=24,"13-24 months",
IF(A2115&lt;=36,"25-36 months",
IF(F2115&lt;=48,"37-48 months","49+ months"))))</f>
        <v>37-48 months</v>
      </c>
      <c r="X2115">
        <f t="shared" ref="X2115:X2178" si="67">S2115 * F2115</f>
        <v>4275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66"/>
        <v>37-48 months</v>
      </c>
      <c r="X2116">
        <f t="shared" si="67"/>
        <v>2476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66"/>
        <v>49+ months</v>
      </c>
      <c r="X2117">
        <f t="shared" si="67"/>
        <v>8424.15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66"/>
        <v>0-12 months</v>
      </c>
      <c r="X2118">
        <f t="shared" si="67"/>
        <v>54.35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66"/>
        <v>49+ months</v>
      </c>
      <c r="X2119">
        <f t="shared" si="67"/>
        <v>4640.4000000000005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66"/>
        <v>37-48 months</v>
      </c>
      <c r="X2120">
        <f t="shared" si="67"/>
        <v>1763.3000000000002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66"/>
        <v>37-48 months</v>
      </c>
      <c r="X2121">
        <f t="shared" si="67"/>
        <v>929.19999999999993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66"/>
        <v>49+ months</v>
      </c>
      <c r="X2122">
        <f t="shared" si="67"/>
        <v>1155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66"/>
        <v>0-12 months</v>
      </c>
      <c r="X2123">
        <f t="shared" si="67"/>
        <v>20.45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66"/>
        <v>0-12 months</v>
      </c>
      <c r="X2124">
        <f t="shared" si="67"/>
        <v>910.19999999999993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66"/>
        <v>37-48 months</v>
      </c>
      <c r="X2125">
        <f t="shared" si="67"/>
        <v>2493.9500000000003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66"/>
        <v>0-12 months</v>
      </c>
      <c r="X2126">
        <f t="shared" si="67"/>
        <v>124.75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66"/>
        <v>49+ months</v>
      </c>
      <c r="X2127">
        <f t="shared" si="67"/>
        <v>5058.5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66"/>
        <v>0-12 months</v>
      </c>
      <c r="X2128">
        <f t="shared" si="67"/>
        <v>44.45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66"/>
        <v>37-48 months</v>
      </c>
      <c r="X2129">
        <f t="shared" si="67"/>
        <v>1694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66"/>
        <v>37-48 months</v>
      </c>
      <c r="X2130">
        <f t="shared" si="67"/>
        <v>3056.5499999999997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66"/>
        <v>0-12 months</v>
      </c>
      <c r="X2131">
        <f t="shared" si="67"/>
        <v>75.3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66"/>
        <v>49+ months</v>
      </c>
      <c r="X2132">
        <f t="shared" si="67"/>
        <v>4834.8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66"/>
        <v>37-48 months</v>
      </c>
      <c r="X2133">
        <f t="shared" si="67"/>
        <v>2022.3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66"/>
        <v>37-48 months</v>
      </c>
      <c r="X2134">
        <f t="shared" si="67"/>
        <v>451.95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66"/>
        <v>0-12 months</v>
      </c>
      <c r="X2135">
        <f t="shared" si="67"/>
        <v>70.55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66"/>
        <v>0-12 months</v>
      </c>
      <c r="X2136">
        <f t="shared" si="67"/>
        <v>20.149999999999999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66"/>
        <v>49+ months</v>
      </c>
      <c r="X2137">
        <f t="shared" si="67"/>
        <v>5969.5999999999995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66"/>
        <v>37-48 months</v>
      </c>
      <c r="X2138">
        <f t="shared" si="67"/>
        <v>1365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66"/>
        <v>0-12 months</v>
      </c>
      <c r="X2139">
        <f t="shared" si="67"/>
        <v>304.79999999999995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66"/>
        <v>49+ months</v>
      </c>
      <c r="X2140">
        <f t="shared" si="67"/>
        <v>3777.3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66"/>
        <v>0-12 months</v>
      </c>
      <c r="X2141">
        <f t="shared" si="67"/>
        <v>467.94999999999993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66"/>
        <v>37-48 months</v>
      </c>
      <c r="X2142">
        <f t="shared" si="67"/>
        <v>2842.9500000000003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66"/>
        <v>37-48 months</v>
      </c>
      <c r="X2143">
        <f t="shared" si="67"/>
        <v>322.39999999999998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66"/>
        <v>37-48 months</v>
      </c>
      <c r="X2144">
        <f t="shared" si="67"/>
        <v>1361.85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66"/>
        <v>37-48 months</v>
      </c>
      <c r="X2145">
        <f t="shared" si="67"/>
        <v>2245.5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66"/>
        <v>0-12 months</v>
      </c>
      <c r="X2146">
        <f t="shared" si="67"/>
        <v>151.5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66"/>
        <v>0-12 months</v>
      </c>
      <c r="X2147">
        <f t="shared" si="67"/>
        <v>801.90000000000009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66"/>
        <v>49+ months</v>
      </c>
      <c r="X2148">
        <f t="shared" si="67"/>
        <v>7133.0999999999995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66"/>
        <v>37-48 months</v>
      </c>
      <c r="X2149">
        <f t="shared" si="67"/>
        <v>342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66"/>
        <v>0-12 months</v>
      </c>
      <c r="X2150">
        <f t="shared" si="67"/>
        <v>117.30000000000001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66"/>
        <v>37-48 months</v>
      </c>
      <c r="X2151">
        <f t="shared" si="67"/>
        <v>4650.5999999999995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66"/>
        <v>37-48 months</v>
      </c>
      <c r="X2152">
        <f t="shared" si="67"/>
        <v>1766.1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66"/>
        <v>49+ months</v>
      </c>
      <c r="X2153">
        <f t="shared" si="67"/>
        <v>1642.1999999999998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66"/>
        <v>0-12 months</v>
      </c>
      <c r="X2154">
        <f t="shared" si="67"/>
        <v>50.1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66"/>
        <v>37-48 months</v>
      </c>
      <c r="X2155">
        <f t="shared" si="67"/>
        <v>1864.9999999999998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66"/>
        <v>37-48 months</v>
      </c>
      <c r="X2156">
        <f t="shared" si="67"/>
        <v>474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66"/>
        <v>37-48 months</v>
      </c>
      <c r="X2157">
        <f t="shared" si="67"/>
        <v>2550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66"/>
        <v>0-12 months</v>
      </c>
      <c r="X2158">
        <f t="shared" si="67"/>
        <v>161.1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66"/>
        <v>49+ months</v>
      </c>
      <c r="X2159">
        <f t="shared" si="67"/>
        <v>5446.8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66"/>
        <v>49+ months</v>
      </c>
      <c r="X2160">
        <f t="shared" si="67"/>
        <v>4816.5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66"/>
        <v>37-48 months</v>
      </c>
      <c r="X2161">
        <f t="shared" si="67"/>
        <v>375.75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66"/>
        <v>49+ months</v>
      </c>
      <c r="X2162">
        <f t="shared" si="67"/>
        <v>6026.4000000000005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66"/>
        <v>0-12 months</v>
      </c>
      <c r="X2163">
        <f t="shared" si="67"/>
        <v>151.6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66"/>
        <v>37-48 months</v>
      </c>
      <c r="X2164">
        <f t="shared" si="67"/>
        <v>2704.7999999999997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66"/>
        <v>37-48 months</v>
      </c>
      <c r="X2165">
        <f t="shared" si="67"/>
        <v>2856.5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66"/>
        <v>49+ months</v>
      </c>
      <c r="X2166">
        <f t="shared" si="67"/>
        <v>7077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66"/>
        <v>37-48 months</v>
      </c>
      <c r="X2167">
        <f t="shared" si="67"/>
        <v>262.59999999999997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66"/>
        <v>49+ months</v>
      </c>
      <c r="X2168">
        <f t="shared" si="67"/>
        <v>5548.95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66"/>
        <v>37-48 months</v>
      </c>
      <c r="X2169">
        <f t="shared" si="67"/>
        <v>1238.25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66"/>
        <v>0-12 months</v>
      </c>
      <c r="X2170">
        <f t="shared" si="67"/>
        <v>520.80000000000007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66"/>
        <v>49+ months</v>
      </c>
      <c r="X2171">
        <f t="shared" si="67"/>
        <v>5022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66"/>
        <v>37-48 months</v>
      </c>
      <c r="X2172">
        <f t="shared" si="67"/>
        <v>1265.25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66"/>
        <v>0-12 months</v>
      </c>
      <c r="X2173">
        <f t="shared" si="67"/>
        <v>121.7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66"/>
        <v>0-12 months</v>
      </c>
      <c r="X2174">
        <f t="shared" si="67"/>
        <v>43.95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66"/>
        <v>0-12 months</v>
      </c>
      <c r="X2175">
        <f t="shared" si="67"/>
        <v>344.2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66"/>
        <v>37-48 months</v>
      </c>
      <c r="X2176">
        <f t="shared" si="67"/>
        <v>384.75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66"/>
        <v>37-48 months</v>
      </c>
      <c r="X2177">
        <f t="shared" si="67"/>
        <v>2554.5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66"/>
        <v>49+ months</v>
      </c>
      <c r="X2178">
        <f t="shared" si="67"/>
        <v>1299.8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68">IF(F2179&lt;=12,"0-12 months",
IF(A2179&lt;=24,"13-24 months",
IF(A2179&lt;=36,"25-36 months",
IF(F2179&lt;=48,"37-48 months","49+ months"))))</f>
        <v>49+ months</v>
      </c>
      <c r="X2179">
        <f t="shared" ref="X2179:X2242" si="69">S2179 * F2179</f>
        <v>7390.8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68"/>
        <v>49+ months</v>
      </c>
      <c r="X2180">
        <f t="shared" si="69"/>
        <v>1054.6999999999998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68"/>
        <v>0-12 months</v>
      </c>
      <c r="X2181">
        <f t="shared" si="69"/>
        <v>97.75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68"/>
        <v>49+ months</v>
      </c>
      <c r="X2182">
        <f t="shared" si="69"/>
        <v>6780.5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68"/>
        <v>49+ months</v>
      </c>
      <c r="X2183">
        <f t="shared" si="69"/>
        <v>4207.5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68"/>
        <v>49+ months</v>
      </c>
      <c r="X2184">
        <f t="shared" si="69"/>
        <v>5779.2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68"/>
        <v>0-12 months</v>
      </c>
      <c r="X2185">
        <f t="shared" si="69"/>
        <v>100.4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68"/>
        <v>0-12 months</v>
      </c>
      <c r="X2186">
        <f t="shared" si="69"/>
        <v>177.1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68"/>
        <v>37-48 months</v>
      </c>
      <c r="X2187">
        <f t="shared" si="69"/>
        <v>1314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68"/>
        <v>37-48 months</v>
      </c>
      <c r="X2188">
        <f t="shared" si="69"/>
        <v>917.69999999999993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68"/>
        <v>49+ months</v>
      </c>
      <c r="X2189">
        <f t="shared" si="69"/>
        <v>8253.75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68"/>
        <v>37-48 months</v>
      </c>
      <c r="X2190">
        <f t="shared" si="69"/>
        <v>904.8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68"/>
        <v>49+ months</v>
      </c>
      <c r="X2191">
        <f t="shared" si="69"/>
        <v>1687.05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68"/>
        <v>49+ months</v>
      </c>
      <c r="X2192">
        <f t="shared" si="69"/>
        <v>5978.2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68"/>
        <v>0-12 months</v>
      </c>
      <c r="X2193">
        <f t="shared" si="69"/>
        <v>91.3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68"/>
        <v>49+ months</v>
      </c>
      <c r="X2194">
        <f t="shared" si="69"/>
        <v>4796.4000000000005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68"/>
        <v>49+ months</v>
      </c>
      <c r="X2195">
        <f t="shared" si="69"/>
        <v>1187.2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68"/>
        <v>0-12 months</v>
      </c>
      <c r="X2196">
        <f t="shared" si="69"/>
        <v>79.5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68"/>
        <v>37-48 months</v>
      </c>
      <c r="X2197">
        <f t="shared" si="69"/>
        <v>715.4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68"/>
        <v>37-48 months</v>
      </c>
      <c r="X2198">
        <f t="shared" si="69"/>
        <v>383.8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68"/>
        <v>49+ months</v>
      </c>
      <c r="X2199">
        <f t="shared" si="69"/>
        <v>4214.1000000000004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68"/>
        <v>37-48 months</v>
      </c>
      <c r="X2200">
        <f t="shared" si="69"/>
        <v>1053.1500000000001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68"/>
        <v>49+ months</v>
      </c>
      <c r="X2201">
        <f t="shared" si="69"/>
        <v>1339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68"/>
        <v>37-48 months</v>
      </c>
      <c r="X2202">
        <f t="shared" si="69"/>
        <v>1105.8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68"/>
        <v>37-48 months</v>
      </c>
      <c r="X2203">
        <f t="shared" si="69"/>
        <v>3090.6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68"/>
        <v>0-12 months</v>
      </c>
      <c r="X2204">
        <f t="shared" si="69"/>
        <v>490.69999999999993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68"/>
        <v>49+ months</v>
      </c>
      <c r="X2205">
        <f t="shared" si="69"/>
        <v>7552.8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68"/>
        <v>49+ months</v>
      </c>
      <c r="X2206">
        <f t="shared" si="69"/>
        <v>7457.0999999999995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68"/>
        <v>37-48 months</v>
      </c>
      <c r="X2207">
        <f t="shared" si="69"/>
        <v>3394.8999999999996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68"/>
        <v>49+ months</v>
      </c>
      <c r="X2208">
        <f t="shared" si="69"/>
        <v>5429.25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68"/>
        <v>0-12 months</v>
      </c>
      <c r="X2209">
        <f t="shared" si="69"/>
        <v>603.75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68"/>
        <v>0-12 months</v>
      </c>
      <c r="X2210">
        <f t="shared" si="69"/>
        <v>100.8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68"/>
        <v>0-12 months</v>
      </c>
      <c r="X2211">
        <f t="shared" si="69"/>
        <v>156.4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68"/>
        <v>49+ months</v>
      </c>
      <c r="X2212">
        <f t="shared" si="69"/>
        <v>7176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68"/>
        <v>49+ months</v>
      </c>
      <c r="X2213">
        <f t="shared" si="69"/>
        <v>5220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68"/>
        <v>0-12 months</v>
      </c>
      <c r="X2214">
        <f t="shared" si="69"/>
        <v>195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68"/>
        <v>0-12 months</v>
      </c>
      <c r="X2215">
        <f t="shared" si="69"/>
        <v>303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68"/>
        <v>37-48 months</v>
      </c>
      <c r="X2216">
        <f t="shared" si="69"/>
        <v>1208.2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68"/>
        <v>49+ months</v>
      </c>
      <c r="X2217">
        <f t="shared" si="69"/>
        <v>3489.5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68"/>
        <v>49+ months</v>
      </c>
      <c r="X2218">
        <f t="shared" si="69"/>
        <v>6972.8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68"/>
        <v>49+ months</v>
      </c>
      <c r="X2219">
        <f t="shared" si="69"/>
        <v>5933.4000000000005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68"/>
        <v>49+ months</v>
      </c>
      <c r="X2220">
        <f t="shared" si="69"/>
        <v>5822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68"/>
        <v>37-48 months</v>
      </c>
      <c r="X2221">
        <f t="shared" si="69"/>
        <v>1799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68"/>
        <v>49+ months</v>
      </c>
      <c r="X2222">
        <f t="shared" si="69"/>
        <v>5713.2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68"/>
        <v>49+ months</v>
      </c>
      <c r="X2223">
        <f t="shared" si="69"/>
        <v>4547.55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68"/>
        <v>37-48 months</v>
      </c>
      <c r="X2224">
        <f t="shared" si="69"/>
        <v>3843.7000000000003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68"/>
        <v>37-48 months</v>
      </c>
      <c r="X2225">
        <f t="shared" si="69"/>
        <v>2518.6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68"/>
        <v>37-48 months</v>
      </c>
      <c r="X2226">
        <f t="shared" si="69"/>
        <v>1299.6500000000001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68"/>
        <v>37-48 months</v>
      </c>
      <c r="X2227">
        <f t="shared" si="69"/>
        <v>1290.3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68"/>
        <v>37-48 months</v>
      </c>
      <c r="X2228">
        <f t="shared" si="69"/>
        <v>795.80000000000007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68"/>
        <v>49+ months</v>
      </c>
      <c r="X2229">
        <f t="shared" si="69"/>
        <v>1133.9000000000001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68"/>
        <v>49+ months</v>
      </c>
      <c r="X2230">
        <f t="shared" si="69"/>
        <v>7311.5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68"/>
        <v>0-12 months</v>
      </c>
      <c r="X2231">
        <f t="shared" si="69"/>
        <v>282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68"/>
        <v>37-48 months</v>
      </c>
      <c r="X2232">
        <f t="shared" si="69"/>
        <v>915.75000000000011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68"/>
        <v>0-12 months</v>
      </c>
      <c r="X2233">
        <f t="shared" si="69"/>
        <v>700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68"/>
        <v>37-48 months</v>
      </c>
      <c r="X2234">
        <f t="shared" si="69"/>
        <v>700.19999999999993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68"/>
        <v>49+ months</v>
      </c>
      <c r="X2235">
        <f t="shared" si="69"/>
        <v>3774.6000000000004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68"/>
        <v>37-48 months</v>
      </c>
      <c r="X2236">
        <f t="shared" si="69"/>
        <v>1373.1000000000001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68"/>
        <v>37-48 months</v>
      </c>
      <c r="X2237">
        <f t="shared" si="69"/>
        <v>3212.35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68"/>
        <v>0-12 months</v>
      </c>
      <c r="X2238">
        <f t="shared" si="69"/>
        <v>357.25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68"/>
        <v>37-48 months</v>
      </c>
      <c r="X2239">
        <f t="shared" si="69"/>
        <v>1237.95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68"/>
        <v>0-12 months</v>
      </c>
      <c r="X2240">
        <f t="shared" si="69"/>
        <v>95.85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68"/>
        <v>49+ months</v>
      </c>
      <c r="X2241">
        <f t="shared" si="69"/>
        <v>2391.9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68"/>
        <v>49+ months</v>
      </c>
      <c r="X2242">
        <f t="shared" si="69"/>
        <v>6447.5999999999995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70">IF(F2243&lt;=12,"0-12 months",
IF(A2243&lt;=24,"13-24 months",
IF(A2243&lt;=36,"25-36 months",
IF(F2243&lt;=48,"37-48 months","49+ months"))))</f>
        <v>49+ months</v>
      </c>
      <c r="X2243">
        <f t="shared" ref="X2243:X2306" si="71">S2243 * F2243</f>
        <v>1397.2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70"/>
        <v>37-48 months</v>
      </c>
      <c r="X2244">
        <f t="shared" si="71"/>
        <v>1093.4000000000001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70"/>
        <v>49+ months</v>
      </c>
      <c r="X2245">
        <f t="shared" si="71"/>
        <v>6652.8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70"/>
        <v>37-48 months</v>
      </c>
      <c r="X2246">
        <f t="shared" si="71"/>
        <v>2189.6000000000004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70"/>
        <v>49+ months</v>
      </c>
      <c r="X2247">
        <f t="shared" si="71"/>
        <v>7269.15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70"/>
        <v>0-12 months</v>
      </c>
      <c r="X2248">
        <f t="shared" si="71"/>
        <v>102.45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70"/>
        <v>37-48 months</v>
      </c>
      <c r="X2249">
        <f t="shared" si="71"/>
        <v>786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70"/>
        <v>37-48 months</v>
      </c>
      <c r="X2250">
        <f t="shared" si="71"/>
        <v>1633.5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70"/>
        <v>0-12 months</v>
      </c>
      <c r="X2251">
        <f t="shared" si="71"/>
        <v>775.5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70"/>
        <v>37-48 months</v>
      </c>
      <c r="X2252">
        <f t="shared" si="71"/>
        <v>301.5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70"/>
        <v>0-12 months</v>
      </c>
      <c r="X2253">
        <f t="shared" si="71"/>
        <v>762.84999999999991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70"/>
        <v>49+ months</v>
      </c>
      <c r="X2254">
        <f t="shared" si="71"/>
        <v>1267.2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70"/>
        <v>49+ months</v>
      </c>
      <c r="X2255">
        <f t="shared" si="71"/>
        <v>5356.8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70"/>
        <v>49+ months</v>
      </c>
      <c r="X2256">
        <f t="shared" si="71"/>
        <v>6699.5999999999995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70"/>
        <v>0-12 months</v>
      </c>
      <c r="X2257">
        <f t="shared" si="71"/>
        <v>51.2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70"/>
        <v>37-48 months</v>
      </c>
      <c r="X2258">
        <f t="shared" si="71"/>
        <v>983.99999999999989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70"/>
        <v>49+ months</v>
      </c>
      <c r="X2259">
        <f t="shared" si="71"/>
        <v>4833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70"/>
        <v>49+ months</v>
      </c>
      <c r="X2260">
        <f t="shared" si="71"/>
        <v>2951.2000000000003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70"/>
        <v>0-12 months</v>
      </c>
      <c r="X2261">
        <f t="shared" si="71"/>
        <v>166.8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70"/>
        <v>0-12 months</v>
      </c>
      <c r="X2262">
        <f t="shared" si="71"/>
        <v>240.29999999999998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70"/>
        <v>49+ months</v>
      </c>
      <c r="X2263">
        <f t="shared" si="71"/>
        <v>2555.35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70"/>
        <v>0-12 months</v>
      </c>
      <c r="X2264">
        <f t="shared" si="71"/>
        <v>160.4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70"/>
        <v>0-12 months</v>
      </c>
      <c r="X2265">
        <f t="shared" si="71"/>
        <v>588.90000000000009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70"/>
        <v>49+ months</v>
      </c>
      <c r="X2266">
        <f t="shared" si="71"/>
        <v>8046.5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70"/>
        <v>0-12 months</v>
      </c>
      <c r="X2267">
        <f t="shared" si="71"/>
        <v>1355.4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70"/>
        <v>49+ months</v>
      </c>
      <c r="X2268">
        <f t="shared" si="71"/>
        <v>5431.4000000000005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70"/>
        <v>49+ months</v>
      </c>
      <c r="X2269">
        <f t="shared" si="71"/>
        <v>8182.8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70"/>
        <v>37-48 months</v>
      </c>
      <c r="X2270">
        <f t="shared" si="71"/>
        <v>824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70"/>
        <v>0-12 months</v>
      </c>
      <c r="X2271">
        <f t="shared" si="71"/>
        <v>70.900000000000006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70"/>
        <v>0-12 months</v>
      </c>
      <c r="X2272">
        <f t="shared" si="71"/>
        <v>260.54999999999995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70"/>
        <v>37-48 months</v>
      </c>
      <c r="X2273">
        <f t="shared" si="71"/>
        <v>3662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70"/>
        <v>0-12 months</v>
      </c>
      <c r="X2274">
        <f t="shared" si="71"/>
        <v>49.85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70"/>
        <v>37-48 months</v>
      </c>
      <c r="X2275">
        <f t="shared" si="71"/>
        <v>594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70"/>
        <v>37-48 months</v>
      </c>
      <c r="X2276">
        <f t="shared" si="71"/>
        <v>2296.5499999999997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70"/>
        <v>0-12 months</v>
      </c>
      <c r="X2277">
        <f t="shared" si="71"/>
        <v>74.5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70"/>
        <v>37-48 months</v>
      </c>
      <c r="X2278">
        <f t="shared" si="71"/>
        <v>4582.6000000000004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70"/>
        <v>49+ months</v>
      </c>
      <c r="X2279">
        <f t="shared" si="71"/>
        <v>7094.75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70"/>
        <v>0-12 months</v>
      </c>
      <c r="X2280">
        <f t="shared" si="71"/>
        <v>337.40000000000003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70"/>
        <v>49+ months</v>
      </c>
      <c r="X2281">
        <f t="shared" si="71"/>
        <v>1807.2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70"/>
        <v>0-12 months</v>
      </c>
      <c r="X2282">
        <f t="shared" si="71"/>
        <v>801.2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70"/>
        <v>37-48 months</v>
      </c>
      <c r="X2283">
        <f t="shared" si="71"/>
        <v>1043.2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70"/>
        <v>49+ months</v>
      </c>
      <c r="X2284">
        <f t="shared" si="71"/>
        <v>6567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70"/>
        <v>0-12 months</v>
      </c>
      <c r="X2285">
        <f t="shared" si="71"/>
        <v>71.55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70"/>
        <v>0-12 months</v>
      </c>
      <c r="X2286">
        <f t="shared" si="71"/>
        <v>167.7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70"/>
        <v>49+ months</v>
      </c>
      <c r="X2287">
        <f t="shared" si="71"/>
        <v>4976.7000000000007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70"/>
        <v>0-12 months</v>
      </c>
      <c r="X2288">
        <f t="shared" si="71"/>
        <v>515.20000000000005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70"/>
        <v>49+ months</v>
      </c>
      <c r="X2289">
        <f t="shared" si="71"/>
        <v>7479.6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70"/>
        <v>0-12 months</v>
      </c>
      <c r="X2290">
        <f t="shared" si="71"/>
        <v>426.5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70"/>
        <v>49+ months</v>
      </c>
      <c r="X2291">
        <f t="shared" si="71"/>
        <v>7736.4000000000005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70"/>
        <v>37-48 months</v>
      </c>
      <c r="X2292">
        <f t="shared" si="71"/>
        <v>633.75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70"/>
        <v>0-12 months</v>
      </c>
      <c r="X2293">
        <f t="shared" si="71"/>
        <v>342.6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70"/>
        <v>49+ months</v>
      </c>
      <c r="X2294">
        <f t="shared" si="71"/>
        <v>4930.2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70"/>
        <v>49+ months</v>
      </c>
      <c r="X2295">
        <f t="shared" si="71"/>
        <v>6188.4000000000005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70"/>
        <v>0-12 months</v>
      </c>
      <c r="X2296">
        <f t="shared" si="71"/>
        <v>1280.4000000000001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70"/>
        <v>0-12 months</v>
      </c>
      <c r="X2297">
        <f t="shared" si="71"/>
        <v>25.15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70"/>
        <v>0-12 months</v>
      </c>
      <c r="X2298">
        <f t="shared" si="71"/>
        <v>45.2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70"/>
        <v>49+ months</v>
      </c>
      <c r="X2299">
        <f t="shared" si="71"/>
        <v>5958.9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70"/>
        <v>49+ months</v>
      </c>
      <c r="X2300">
        <f t="shared" si="71"/>
        <v>5464.8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70"/>
        <v>37-48 months</v>
      </c>
      <c r="X2301">
        <f t="shared" si="71"/>
        <v>2664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70"/>
        <v>37-48 months</v>
      </c>
      <c r="X2302">
        <f t="shared" si="71"/>
        <v>4956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70"/>
        <v>0-12 months</v>
      </c>
      <c r="X2303">
        <f t="shared" si="71"/>
        <v>722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70"/>
        <v>49+ months</v>
      </c>
      <c r="X2304">
        <f t="shared" si="71"/>
        <v>6478.75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70"/>
        <v>0-12 months</v>
      </c>
      <c r="X2305">
        <f t="shared" si="71"/>
        <v>95.6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70"/>
        <v>49+ months</v>
      </c>
      <c r="X2306">
        <f t="shared" si="71"/>
        <v>6760.3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72">IF(F2307&lt;=12,"0-12 months",
IF(A2307&lt;=24,"13-24 months",
IF(A2307&lt;=36,"25-36 months",
IF(F2307&lt;=48,"37-48 months","49+ months"))))</f>
        <v>37-48 months</v>
      </c>
      <c r="X2307">
        <f t="shared" ref="X2307:X2370" si="73">S2307 * F2307</f>
        <v>3321.8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72"/>
        <v>0-12 months</v>
      </c>
      <c r="X2308">
        <f t="shared" si="73"/>
        <v>209.54999999999998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72"/>
        <v>0-12 months</v>
      </c>
      <c r="X2309">
        <f t="shared" si="73"/>
        <v>590.4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72"/>
        <v>49+ months</v>
      </c>
      <c r="X2310">
        <f t="shared" si="73"/>
        <v>7430.1500000000005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72"/>
        <v>49+ months</v>
      </c>
      <c r="X2311">
        <f t="shared" si="73"/>
        <v>5155.6500000000005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72"/>
        <v>49+ months</v>
      </c>
      <c r="X2312">
        <f t="shared" si="73"/>
        <v>4586.4000000000005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72"/>
        <v>37-48 months</v>
      </c>
      <c r="X2313">
        <f t="shared" si="73"/>
        <v>5016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72"/>
        <v>37-48 months</v>
      </c>
      <c r="X2314">
        <f t="shared" si="73"/>
        <v>361.8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72"/>
        <v>37-48 months</v>
      </c>
      <c r="X2315">
        <f t="shared" si="73"/>
        <v>4484.8999999999996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72"/>
        <v>49+ months</v>
      </c>
      <c r="X2316">
        <f t="shared" si="73"/>
        <v>6714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72"/>
        <v>37-48 months</v>
      </c>
      <c r="X2317">
        <f t="shared" si="73"/>
        <v>2570.75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72"/>
        <v>0-12 months</v>
      </c>
      <c r="X2318">
        <f t="shared" si="73"/>
        <v>82.8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72"/>
        <v>49+ months</v>
      </c>
      <c r="X2319">
        <f t="shared" si="73"/>
        <v>1237.25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72"/>
        <v>49+ months</v>
      </c>
      <c r="X2320">
        <f t="shared" si="73"/>
        <v>7135.5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72"/>
        <v>0-12 months</v>
      </c>
      <c r="X2321">
        <f t="shared" si="73"/>
        <v>996.59999999999991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72"/>
        <v>49+ months</v>
      </c>
      <c r="X2322">
        <f t="shared" si="73"/>
        <v>5632.2000000000007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72"/>
        <v>49+ months</v>
      </c>
      <c r="X2323">
        <f t="shared" si="73"/>
        <v>6204.25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72"/>
        <v>49+ months</v>
      </c>
      <c r="X2324">
        <f t="shared" si="73"/>
        <v>1002.05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72"/>
        <v>37-48 months</v>
      </c>
      <c r="X2325">
        <f t="shared" si="73"/>
        <v>2859.3999999999996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72"/>
        <v>37-48 months</v>
      </c>
      <c r="X2326">
        <f t="shared" si="73"/>
        <v>1245.75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72"/>
        <v>0-12 months</v>
      </c>
      <c r="X2327">
        <f t="shared" si="73"/>
        <v>79.8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72"/>
        <v>49+ months</v>
      </c>
      <c r="X2328">
        <f t="shared" si="73"/>
        <v>7858.8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72"/>
        <v>37-48 months</v>
      </c>
      <c r="X2329">
        <f t="shared" si="73"/>
        <v>2228.2000000000003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72"/>
        <v>37-48 months</v>
      </c>
      <c r="X2330">
        <f t="shared" si="73"/>
        <v>3571.75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72"/>
        <v>49+ months</v>
      </c>
      <c r="X2331">
        <f t="shared" si="73"/>
        <v>5397.9000000000005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72"/>
        <v>37-48 months</v>
      </c>
      <c r="X2332">
        <f t="shared" si="73"/>
        <v>1803.2000000000003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72"/>
        <v>37-48 months</v>
      </c>
      <c r="X2333">
        <f t="shared" si="73"/>
        <v>670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72"/>
        <v>37-48 months</v>
      </c>
      <c r="X2334">
        <f t="shared" si="73"/>
        <v>3104.35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72"/>
        <v>49+ months</v>
      </c>
      <c r="X2335">
        <f t="shared" si="73"/>
        <v>3716.4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72"/>
        <v>37-48 months</v>
      </c>
      <c r="X2336">
        <f t="shared" si="73"/>
        <v>1360.8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72"/>
        <v>0-12 months</v>
      </c>
      <c r="X2337">
        <f t="shared" si="73"/>
        <v>279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72"/>
        <v>37-48 months</v>
      </c>
      <c r="X2338">
        <f t="shared" si="73"/>
        <v>1196.8000000000002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72"/>
        <v>49+ months</v>
      </c>
      <c r="X2339">
        <f t="shared" si="73"/>
        <v>5866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72"/>
        <v>49+ months</v>
      </c>
      <c r="X2340">
        <f t="shared" si="73"/>
        <v>1436.3999999999999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72"/>
        <v>37-48 months</v>
      </c>
      <c r="X2341">
        <f t="shared" si="73"/>
        <v>1979.25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72"/>
        <v>37-48 months</v>
      </c>
      <c r="X2342">
        <f t="shared" si="73"/>
        <v>2160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72"/>
        <v>49+ months</v>
      </c>
      <c r="X2343">
        <f t="shared" si="73"/>
        <v>7813.2000000000007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72"/>
        <v>37-48 months</v>
      </c>
      <c r="X2344">
        <f t="shared" si="73"/>
        <v>3192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72"/>
        <v>0-12 months</v>
      </c>
      <c r="X2345">
        <f t="shared" si="73"/>
        <v>138.30000000000001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72"/>
        <v>37-48 months</v>
      </c>
      <c r="X2346">
        <f t="shared" si="73"/>
        <v>555.80000000000007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72"/>
        <v>0-12 months</v>
      </c>
      <c r="X2347">
        <f t="shared" si="73"/>
        <v>80.2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72"/>
        <v>49+ months</v>
      </c>
      <c r="X2348">
        <f t="shared" si="73"/>
        <v>6798.25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72"/>
        <v>0-12 months</v>
      </c>
      <c r="X2349">
        <f t="shared" si="73"/>
        <v>195.2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72"/>
        <v>49+ months</v>
      </c>
      <c r="X2350">
        <f t="shared" si="73"/>
        <v>2049.6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72"/>
        <v>49+ months</v>
      </c>
      <c r="X2351">
        <f t="shared" si="73"/>
        <v>6512.4000000000005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72"/>
        <v>0-12 months</v>
      </c>
      <c r="X2352">
        <f t="shared" si="73"/>
        <v>420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72"/>
        <v>49+ months</v>
      </c>
      <c r="X2353">
        <f t="shared" si="73"/>
        <v>3302.6000000000004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72"/>
        <v>0-12 months</v>
      </c>
      <c r="X2354">
        <f t="shared" si="73"/>
        <v>157.6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72"/>
        <v>0-12 months</v>
      </c>
      <c r="X2355">
        <f t="shared" si="73"/>
        <v>241.04999999999998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72"/>
        <v>0-12 months</v>
      </c>
      <c r="X2356">
        <f t="shared" si="73"/>
        <v>176.4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72"/>
        <v>49+ months</v>
      </c>
      <c r="X2357">
        <f t="shared" si="73"/>
        <v>3631.4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72"/>
        <v>37-48 months</v>
      </c>
      <c r="X2358">
        <f t="shared" si="73"/>
        <v>2079.2000000000003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72"/>
        <v>49+ months</v>
      </c>
      <c r="X2359">
        <f t="shared" si="73"/>
        <v>5031.7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72"/>
        <v>49+ months</v>
      </c>
      <c r="X2360">
        <f t="shared" si="73"/>
        <v>1083.5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72"/>
        <v>37-48 months</v>
      </c>
      <c r="X2361">
        <f t="shared" si="73"/>
        <v>2400.75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72"/>
        <v>49+ months</v>
      </c>
      <c r="X2362">
        <f t="shared" si="73"/>
        <v>1243.1000000000001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72"/>
        <v>0-12 months</v>
      </c>
      <c r="X2363">
        <f t="shared" si="73"/>
        <v>45.95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72"/>
        <v>49+ months</v>
      </c>
      <c r="X2364">
        <f t="shared" si="73"/>
        <v>1920.8000000000002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72"/>
        <v>0-12 months</v>
      </c>
      <c r="X2365">
        <f t="shared" si="73"/>
        <v>44.75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72"/>
        <v>37-48 months</v>
      </c>
      <c r="X2366">
        <f t="shared" si="73"/>
        <v>1157.1000000000001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72"/>
        <v>37-48 months</v>
      </c>
      <c r="X2367">
        <f t="shared" si="73"/>
        <v>1690.2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72"/>
        <v>0-12 months</v>
      </c>
      <c r="X2368">
        <f t="shared" si="73"/>
        <v>70.150000000000006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72"/>
        <v>0-12 months</v>
      </c>
      <c r="X2369">
        <f t="shared" si="73"/>
        <v>85.55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72"/>
        <v>49+ months</v>
      </c>
      <c r="X2370">
        <f t="shared" si="73"/>
        <v>8434.8000000000011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74">IF(F2371&lt;=12,"0-12 months",
IF(A2371&lt;=24,"13-24 months",
IF(A2371&lt;=36,"25-36 months",
IF(F2371&lt;=48,"37-48 months","49+ months"))))</f>
        <v>49+ months</v>
      </c>
      <c r="X2371">
        <f t="shared" ref="X2371:X2434" si="75">S2371 * F2371</f>
        <v>6352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74"/>
        <v>49+ months</v>
      </c>
      <c r="X2372">
        <f t="shared" si="75"/>
        <v>7765.95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74"/>
        <v>0-12 months</v>
      </c>
      <c r="X2373">
        <f t="shared" si="75"/>
        <v>25.7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74"/>
        <v>49+ months</v>
      </c>
      <c r="X2374">
        <f t="shared" si="75"/>
        <v>6411.3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74"/>
        <v>49+ months</v>
      </c>
      <c r="X2375">
        <f t="shared" si="75"/>
        <v>3260.4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74"/>
        <v>0-12 months</v>
      </c>
      <c r="X2376">
        <f t="shared" si="75"/>
        <v>38.799999999999997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74"/>
        <v>49+ months</v>
      </c>
      <c r="X2377">
        <f t="shared" si="75"/>
        <v>7788.7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74"/>
        <v>0-12 months</v>
      </c>
      <c r="X2378">
        <f t="shared" si="75"/>
        <v>673.75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74"/>
        <v>37-48 months</v>
      </c>
      <c r="X2379">
        <f t="shared" si="75"/>
        <v>2599.1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74"/>
        <v>37-48 months</v>
      </c>
      <c r="X2380">
        <f t="shared" si="75"/>
        <v>2460.5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74"/>
        <v>37-48 months</v>
      </c>
      <c r="X2381">
        <f t="shared" si="75"/>
        <v>3403.2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74"/>
        <v>49+ months</v>
      </c>
      <c r="X2382">
        <f t="shared" si="75"/>
        <v>6225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74"/>
        <v>0-12 months</v>
      </c>
      <c r="X2383">
        <f t="shared" si="75"/>
        <v>214.5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74"/>
        <v>37-48 months</v>
      </c>
      <c r="X2384">
        <f t="shared" si="75"/>
        <v>1145.5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74"/>
        <v>37-48 months</v>
      </c>
      <c r="X2385">
        <f t="shared" si="75"/>
        <v>547.05000000000007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74"/>
        <v>37-48 months</v>
      </c>
      <c r="X2386">
        <f t="shared" si="75"/>
        <v>4370.3999999999996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74"/>
        <v>0-12 months</v>
      </c>
      <c r="X2387">
        <f t="shared" si="75"/>
        <v>88.949999999999989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74"/>
        <v>37-48 months</v>
      </c>
      <c r="X2388">
        <f t="shared" si="75"/>
        <v>2158.6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74"/>
        <v>0-12 months</v>
      </c>
      <c r="X2389">
        <f t="shared" si="75"/>
        <v>526.5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74"/>
        <v>0-12 months</v>
      </c>
      <c r="X2390">
        <f t="shared" si="75"/>
        <v>55.45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74"/>
        <v>49+ months</v>
      </c>
      <c r="X2391">
        <f t="shared" si="75"/>
        <v>6066.95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74"/>
        <v>0-12 months</v>
      </c>
      <c r="X2392">
        <f t="shared" si="75"/>
        <v>158.4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74"/>
        <v>0-12 months</v>
      </c>
      <c r="X2393">
        <f t="shared" si="75"/>
        <v>474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74"/>
        <v>37-48 months</v>
      </c>
      <c r="X2394">
        <f t="shared" si="75"/>
        <v>1814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74"/>
        <v>37-48 months</v>
      </c>
      <c r="X2395">
        <f t="shared" si="75"/>
        <v>3422.1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74"/>
        <v>49+ months</v>
      </c>
      <c r="X2396">
        <f t="shared" si="75"/>
        <v>5612.55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74"/>
        <v>37-48 months</v>
      </c>
      <c r="X2397">
        <f t="shared" si="75"/>
        <v>2811.7000000000003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74"/>
        <v>37-48 months</v>
      </c>
      <c r="X2398">
        <f t="shared" si="75"/>
        <v>3610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74"/>
        <v>0-12 months</v>
      </c>
      <c r="X2399">
        <f t="shared" si="75"/>
        <v>88.35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74"/>
        <v>0-12 months</v>
      </c>
      <c r="X2400">
        <f t="shared" si="75"/>
        <v>60.5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74"/>
        <v>0-12 months</v>
      </c>
      <c r="X2401">
        <f t="shared" si="75"/>
        <v>598.20000000000005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74"/>
        <v>0-12 months</v>
      </c>
      <c r="X2402">
        <f t="shared" si="75"/>
        <v>837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74"/>
        <v>0-12 months</v>
      </c>
      <c r="X2403">
        <f t="shared" si="75"/>
        <v>600.04999999999995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74"/>
        <v>0-12 months</v>
      </c>
      <c r="X2404">
        <f t="shared" si="75"/>
        <v>118.19999999999999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74"/>
        <v>49+ months</v>
      </c>
      <c r="X2405">
        <f t="shared" si="75"/>
        <v>6020.8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74"/>
        <v>37-48 months</v>
      </c>
      <c r="X2406">
        <f t="shared" si="75"/>
        <v>3966.9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74"/>
        <v>0-12 months</v>
      </c>
      <c r="X2407">
        <f t="shared" si="75"/>
        <v>753.6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74"/>
        <v>0-12 months</v>
      </c>
      <c r="X2408">
        <f t="shared" si="75"/>
        <v>481.25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74"/>
        <v>0-12 months</v>
      </c>
      <c r="X2409">
        <f t="shared" si="75"/>
        <v>141.4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74"/>
        <v>37-48 months</v>
      </c>
      <c r="X2410">
        <f t="shared" si="75"/>
        <v>938.25000000000011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74"/>
        <v>37-48 months</v>
      </c>
      <c r="X2411">
        <f t="shared" si="75"/>
        <v>1680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74"/>
        <v>37-48 months</v>
      </c>
      <c r="X2412">
        <f t="shared" si="75"/>
        <v>3459.35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74"/>
        <v>49+ months</v>
      </c>
      <c r="X2413">
        <f t="shared" si="75"/>
        <v>5097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74"/>
        <v>37-48 months</v>
      </c>
      <c r="X2414">
        <f t="shared" si="75"/>
        <v>1409.1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74"/>
        <v>0-12 months</v>
      </c>
      <c r="X2415">
        <f t="shared" si="75"/>
        <v>347.55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74"/>
        <v>37-48 months</v>
      </c>
      <c r="X2416">
        <f t="shared" si="75"/>
        <v>505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74"/>
        <v>37-48 months</v>
      </c>
      <c r="X2417">
        <f t="shared" si="75"/>
        <v>3782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74"/>
        <v>37-48 months</v>
      </c>
      <c r="X2418">
        <f t="shared" si="75"/>
        <v>2713.5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74"/>
        <v>0-12 months</v>
      </c>
      <c r="X2419">
        <f t="shared" si="75"/>
        <v>357.5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74"/>
        <v>37-48 months</v>
      </c>
      <c r="X2420">
        <f t="shared" si="75"/>
        <v>2334.15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74"/>
        <v>0-12 months</v>
      </c>
      <c r="X2421">
        <f t="shared" si="75"/>
        <v>591.79999999999995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74"/>
        <v>0-12 months</v>
      </c>
      <c r="X2422">
        <f t="shared" si="75"/>
        <v>154.19999999999999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74"/>
        <v>49+ months</v>
      </c>
      <c r="X2423">
        <f t="shared" si="75"/>
        <v>2713.2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74"/>
        <v>0-12 months</v>
      </c>
      <c r="X2424">
        <f t="shared" si="75"/>
        <v>70.05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74"/>
        <v>37-48 months</v>
      </c>
      <c r="X2425">
        <f t="shared" si="75"/>
        <v>361.8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74"/>
        <v>49+ months</v>
      </c>
      <c r="X2426">
        <f t="shared" si="75"/>
        <v>6438.1500000000005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74"/>
        <v>37-48 months</v>
      </c>
      <c r="X2427">
        <f t="shared" si="75"/>
        <v>527.80000000000007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74"/>
        <v>37-48 months</v>
      </c>
      <c r="X2428">
        <f t="shared" si="75"/>
        <v>606.04999999999995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74"/>
        <v>0-12 months</v>
      </c>
      <c r="X2429">
        <f t="shared" si="75"/>
        <v>35.9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74"/>
        <v>37-48 months</v>
      </c>
      <c r="X2430">
        <f t="shared" si="75"/>
        <v>3771.5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74"/>
        <v>49+ months</v>
      </c>
      <c r="X2431">
        <f t="shared" si="75"/>
        <v>4894.05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74"/>
        <v>37-48 months</v>
      </c>
      <c r="X2432">
        <f t="shared" si="75"/>
        <v>1669.5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74"/>
        <v>0-12 months</v>
      </c>
      <c r="X2433">
        <f t="shared" si="75"/>
        <v>48.9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74"/>
        <v>49+ months</v>
      </c>
      <c r="X2434">
        <f t="shared" si="75"/>
        <v>1260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76">IF(F2435&lt;=12,"0-12 months",
IF(A2435&lt;=24,"13-24 months",
IF(A2435&lt;=36,"25-36 months",
IF(F2435&lt;=48,"37-48 months","49+ months"))))</f>
        <v>0-12 months</v>
      </c>
      <c r="X2435">
        <f t="shared" ref="X2435:X2498" si="77">S2435 * F2435</f>
        <v>457.2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76"/>
        <v>0-12 months</v>
      </c>
      <c r="X2436">
        <f t="shared" si="77"/>
        <v>58.949999999999996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76"/>
        <v>37-48 months</v>
      </c>
      <c r="X2437">
        <f t="shared" si="77"/>
        <v>837.19999999999993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76"/>
        <v>37-48 months</v>
      </c>
      <c r="X2438">
        <f t="shared" si="77"/>
        <v>2280.0499999999997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76"/>
        <v>0-12 months</v>
      </c>
      <c r="X2439">
        <f t="shared" si="77"/>
        <v>429.8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76"/>
        <v>0-12 months</v>
      </c>
      <c r="X2440">
        <f t="shared" si="77"/>
        <v>826.8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76"/>
        <v>37-48 months</v>
      </c>
      <c r="X2441">
        <f t="shared" si="77"/>
        <v>338.29999999999995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76"/>
        <v>37-48 months</v>
      </c>
      <c r="X2442">
        <f t="shared" si="77"/>
        <v>622.4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76"/>
        <v>0-12 months</v>
      </c>
      <c r="X2443">
        <f t="shared" si="77"/>
        <v>163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76"/>
        <v>0-12 months</v>
      </c>
      <c r="X2444">
        <f t="shared" si="77"/>
        <v>593.6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76"/>
        <v>49+ months</v>
      </c>
      <c r="X2445">
        <f t="shared" si="77"/>
        <v>7887.5999999999995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76"/>
        <v>37-48 months</v>
      </c>
      <c r="X2446">
        <f t="shared" si="77"/>
        <v>3098.4500000000003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76"/>
        <v>37-48 months</v>
      </c>
      <c r="X2447">
        <f t="shared" si="77"/>
        <v>2008.8000000000002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76"/>
        <v>37-48 months</v>
      </c>
      <c r="X2448">
        <f t="shared" si="77"/>
        <v>1620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76"/>
        <v>0-12 months</v>
      </c>
      <c r="X2449">
        <f t="shared" si="77"/>
        <v>524.30000000000007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76"/>
        <v>37-48 months</v>
      </c>
      <c r="X2450">
        <f t="shared" si="77"/>
        <v>1467.8999999999999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76"/>
        <v>0-12 months</v>
      </c>
      <c r="X2451">
        <f t="shared" si="77"/>
        <v>656.15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76"/>
        <v>49+ months</v>
      </c>
      <c r="X2452">
        <f t="shared" si="77"/>
        <v>7952.4000000000005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76"/>
        <v>37-48 months</v>
      </c>
      <c r="X2453">
        <f t="shared" si="77"/>
        <v>2970.7999999999997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76"/>
        <v>37-48 months</v>
      </c>
      <c r="X2454">
        <f t="shared" si="77"/>
        <v>1113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76"/>
        <v>0-12 months</v>
      </c>
      <c r="X2455">
        <f t="shared" si="77"/>
        <v>297.8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76"/>
        <v>49+ months</v>
      </c>
      <c r="X2456">
        <f t="shared" si="77"/>
        <v>1743.05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76"/>
        <v>0-12 months</v>
      </c>
      <c r="X2457">
        <f t="shared" si="77"/>
        <v>446.75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76"/>
        <v>37-48 months</v>
      </c>
      <c r="X2458">
        <f t="shared" si="77"/>
        <v>1153.8500000000001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76"/>
        <v>49+ months</v>
      </c>
      <c r="X2459">
        <f t="shared" si="77"/>
        <v>5167.05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76"/>
        <v>49+ months</v>
      </c>
      <c r="X2460">
        <f t="shared" si="77"/>
        <v>5252.5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76"/>
        <v>0-12 months</v>
      </c>
      <c r="X2461">
        <f t="shared" si="77"/>
        <v>163.6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76"/>
        <v>37-48 months</v>
      </c>
      <c r="X2462">
        <f t="shared" si="77"/>
        <v>938.40000000000009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76"/>
        <v>49+ months</v>
      </c>
      <c r="X2463">
        <f t="shared" si="77"/>
        <v>1379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76"/>
        <v>0-12 months</v>
      </c>
      <c r="X2464">
        <f t="shared" si="77"/>
        <v>70.45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76"/>
        <v>0-12 months</v>
      </c>
      <c r="X2465">
        <f t="shared" si="77"/>
        <v>685.2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76"/>
        <v>0-12 months</v>
      </c>
      <c r="X2466">
        <f t="shared" si="77"/>
        <v>77.150000000000006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76"/>
        <v>0-12 months</v>
      </c>
      <c r="X2467">
        <f t="shared" si="77"/>
        <v>35.25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76"/>
        <v>49+ months</v>
      </c>
      <c r="X2468">
        <f t="shared" si="77"/>
        <v>1233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76"/>
        <v>49+ months</v>
      </c>
      <c r="X2469">
        <f t="shared" si="77"/>
        <v>4799.55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76"/>
        <v>0-12 months</v>
      </c>
      <c r="X2470">
        <f t="shared" si="77"/>
        <v>194.2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76"/>
        <v>37-48 months</v>
      </c>
      <c r="X2471">
        <f t="shared" si="77"/>
        <v>580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76"/>
        <v>49+ months</v>
      </c>
      <c r="X2472">
        <f t="shared" si="77"/>
        <v>1691.75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76"/>
        <v>49+ months</v>
      </c>
      <c r="X2473">
        <f t="shared" si="77"/>
        <v>5215.2000000000007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76"/>
        <v>49+ months</v>
      </c>
      <c r="X2474">
        <f t="shared" si="77"/>
        <v>4750.3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76"/>
        <v>0-12 months</v>
      </c>
      <c r="X2475">
        <f t="shared" si="77"/>
        <v>119.10000000000001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76"/>
        <v>37-48 months</v>
      </c>
      <c r="X2476">
        <f t="shared" si="77"/>
        <v>4998.45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76"/>
        <v>49+ months</v>
      </c>
      <c r="X2477">
        <f t="shared" si="77"/>
        <v>5273.5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76"/>
        <v>49+ months</v>
      </c>
      <c r="X2478">
        <f t="shared" si="77"/>
        <v>5844.3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76"/>
        <v>0-12 months</v>
      </c>
      <c r="X2479">
        <f t="shared" si="77"/>
        <v>258.14999999999998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76"/>
        <v>0-12 months</v>
      </c>
      <c r="X2480">
        <f t="shared" si="77"/>
        <v>178.2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76"/>
        <v>49+ months</v>
      </c>
      <c r="X2481">
        <f t="shared" si="77"/>
        <v>4247.5999999999995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76"/>
        <v>49+ months</v>
      </c>
      <c r="X2482">
        <f t="shared" si="77"/>
        <v>5537.15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76"/>
        <v>49+ months</v>
      </c>
      <c r="X2483">
        <f t="shared" si="77"/>
        <v>1525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76"/>
        <v>0-12 months</v>
      </c>
      <c r="X2484">
        <f t="shared" si="77"/>
        <v>90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76"/>
        <v>37-48 months</v>
      </c>
      <c r="X2485">
        <f t="shared" si="77"/>
        <v>4632.2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76"/>
        <v>0-12 months</v>
      </c>
      <c r="X2486">
        <f t="shared" si="77"/>
        <v>246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76"/>
        <v>37-48 months</v>
      </c>
      <c r="X2487">
        <f t="shared" si="77"/>
        <v>1126.3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76"/>
        <v>37-48 months</v>
      </c>
      <c r="X2488">
        <f t="shared" si="77"/>
        <v>2532.6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76"/>
        <v>37-48 months</v>
      </c>
      <c r="X2489">
        <f t="shared" si="77"/>
        <v>1450.8000000000002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76"/>
        <v>37-48 months</v>
      </c>
      <c r="X2490">
        <f t="shared" si="77"/>
        <v>1712.75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76"/>
        <v>49+ months</v>
      </c>
      <c r="X2491">
        <f t="shared" si="77"/>
        <v>5334.6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76"/>
        <v>37-48 months</v>
      </c>
      <c r="X2492">
        <f t="shared" si="77"/>
        <v>3921.45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76"/>
        <v>37-48 months</v>
      </c>
      <c r="X2493">
        <f t="shared" si="77"/>
        <v>854.7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76"/>
        <v>37-48 months</v>
      </c>
      <c r="X2494">
        <f t="shared" si="77"/>
        <v>707.85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76"/>
        <v>0-12 months</v>
      </c>
      <c r="X2495">
        <f t="shared" si="77"/>
        <v>544.5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76"/>
        <v>37-48 months</v>
      </c>
      <c r="X2496">
        <f t="shared" si="77"/>
        <v>2637.25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76"/>
        <v>37-48 months</v>
      </c>
      <c r="X2497">
        <f t="shared" si="77"/>
        <v>769.5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76"/>
        <v>37-48 months</v>
      </c>
      <c r="X2498">
        <f t="shared" si="77"/>
        <v>360.90000000000003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78">IF(F2499&lt;=12,"0-12 months",
IF(A2499&lt;=24,"13-24 months",
IF(A2499&lt;=36,"25-36 months",
IF(F2499&lt;=48,"37-48 months","49+ months"))))</f>
        <v>0-12 months</v>
      </c>
      <c r="X2499">
        <f t="shared" ref="X2499:X2562" si="79">S2499 * F2499</f>
        <v>78.400000000000006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78"/>
        <v>37-48 months</v>
      </c>
      <c r="X2500">
        <f t="shared" si="79"/>
        <v>1452.6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78"/>
        <v>37-48 months</v>
      </c>
      <c r="X2501">
        <f t="shared" si="79"/>
        <v>2878.2000000000003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78"/>
        <v>49+ months</v>
      </c>
      <c r="X2502">
        <f t="shared" si="79"/>
        <v>3775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78"/>
        <v>49+ months</v>
      </c>
      <c r="X2503">
        <f t="shared" si="79"/>
        <v>1465.2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78"/>
        <v>49+ months</v>
      </c>
      <c r="X2504">
        <f t="shared" si="79"/>
        <v>1823.5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78"/>
        <v>37-48 months</v>
      </c>
      <c r="X2505">
        <f t="shared" si="79"/>
        <v>906.40000000000009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78"/>
        <v>0-12 months</v>
      </c>
      <c r="X2506">
        <f t="shared" si="79"/>
        <v>151.4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78"/>
        <v>37-48 months</v>
      </c>
      <c r="X2507">
        <f t="shared" si="79"/>
        <v>683.40000000000009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78"/>
        <v>49+ months</v>
      </c>
      <c r="X2508">
        <f t="shared" si="79"/>
        <v>1749.6000000000001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78"/>
        <v>49+ months</v>
      </c>
      <c r="X2509">
        <f t="shared" si="79"/>
        <v>1739.5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78"/>
        <v>49+ months</v>
      </c>
      <c r="X2510">
        <f t="shared" si="79"/>
        <v>7072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78"/>
        <v>49+ months</v>
      </c>
      <c r="X2511">
        <f t="shared" si="79"/>
        <v>1818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78"/>
        <v>0-12 months</v>
      </c>
      <c r="X2512">
        <f t="shared" si="79"/>
        <v>74.25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78"/>
        <v>37-48 months</v>
      </c>
      <c r="X2513">
        <f t="shared" si="79"/>
        <v>2612.8999999999996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78"/>
        <v>37-48 months</v>
      </c>
      <c r="X2514">
        <f t="shared" si="79"/>
        <v>1581.25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78"/>
        <v>49+ months</v>
      </c>
      <c r="X2515">
        <f t="shared" si="79"/>
        <v>998.4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78"/>
        <v>37-48 months</v>
      </c>
      <c r="X2516">
        <f t="shared" si="79"/>
        <v>2242.5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78"/>
        <v>49+ months</v>
      </c>
      <c r="X2517">
        <f t="shared" si="79"/>
        <v>7366.4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78"/>
        <v>37-48 months</v>
      </c>
      <c r="X2518">
        <f t="shared" si="79"/>
        <v>1542.4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78"/>
        <v>0-12 months</v>
      </c>
      <c r="X2519">
        <f t="shared" si="79"/>
        <v>69.5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78"/>
        <v>37-48 months</v>
      </c>
      <c r="X2520">
        <f t="shared" si="79"/>
        <v>2391.6000000000004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78"/>
        <v>0-12 months</v>
      </c>
      <c r="X2521">
        <f t="shared" si="79"/>
        <v>182.9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78"/>
        <v>37-48 months</v>
      </c>
      <c r="X2522">
        <f t="shared" si="79"/>
        <v>2881.5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78"/>
        <v>37-48 months</v>
      </c>
      <c r="X2523">
        <f t="shared" si="79"/>
        <v>3069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78"/>
        <v>49+ months</v>
      </c>
      <c r="X2524">
        <f t="shared" si="79"/>
        <v>4173.75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78"/>
        <v>37-48 months</v>
      </c>
      <c r="X2525">
        <f t="shared" si="79"/>
        <v>951.75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78"/>
        <v>49+ months</v>
      </c>
      <c r="X2526">
        <f t="shared" si="79"/>
        <v>1432.8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78"/>
        <v>49+ months</v>
      </c>
      <c r="X2527">
        <f t="shared" si="79"/>
        <v>7038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78"/>
        <v>0-12 months</v>
      </c>
      <c r="X2528">
        <f t="shared" si="79"/>
        <v>19.399999999999999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78"/>
        <v>0-12 months</v>
      </c>
      <c r="X2529">
        <f t="shared" si="79"/>
        <v>749.69999999999993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78"/>
        <v>0-12 months</v>
      </c>
      <c r="X2530">
        <f t="shared" si="79"/>
        <v>640.79999999999995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78"/>
        <v>37-48 months</v>
      </c>
      <c r="X2531">
        <f t="shared" si="79"/>
        <v>2821.5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78"/>
        <v>0-12 months</v>
      </c>
      <c r="X2532">
        <f t="shared" si="79"/>
        <v>702.80000000000007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78"/>
        <v>49+ months</v>
      </c>
      <c r="X2533">
        <f t="shared" si="79"/>
        <v>1735.95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78"/>
        <v>37-48 months</v>
      </c>
      <c r="X2534">
        <f t="shared" si="79"/>
        <v>4145.0999999999995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78"/>
        <v>49+ months</v>
      </c>
      <c r="X2535">
        <f t="shared" si="79"/>
        <v>3410.2999999999997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78"/>
        <v>49+ months</v>
      </c>
      <c r="X2536">
        <f t="shared" si="79"/>
        <v>7396.8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78"/>
        <v>49+ months</v>
      </c>
      <c r="X2537">
        <f t="shared" si="79"/>
        <v>6454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78"/>
        <v>37-48 months</v>
      </c>
      <c r="X2538">
        <f t="shared" si="79"/>
        <v>632.5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78"/>
        <v>49+ months</v>
      </c>
      <c r="X2539">
        <f t="shared" si="79"/>
        <v>8164.8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78"/>
        <v>37-48 months</v>
      </c>
      <c r="X2540">
        <f t="shared" si="79"/>
        <v>1378.6999999999998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78"/>
        <v>49+ months</v>
      </c>
      <c r="X2541">
        <f t="shared" si="79"/>
        <v>1690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78"/>
        <v>49+ months</v>
      </c>
      <c r="X2542">
        <f t="shared" si="79"/>
        <v>7836.5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78"/>
        <v>49+ months</v>
      </c>
      <c r="X2543">
        <f t="shared" si="79"/>
        <v>3873.6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78"/>
        <v>37-48 months</v>
      </c>
      <c r="X2544">
        <f t="shared" si="79"/>
        <v>2523.5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78"/>
        <v>37-48 months</v>
      </c>
      <c r="X2545">
        <f t="shared" si="79"/>
        <v>1275.95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78"/>
        <v>0-12 months</v>
      </c>
      <c r="X2546">
        <f t="shared" si="79"/>
        <v>946.19999999999993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78"/>
        <v>49+ months</v>
      </c>
      <c r="X2547">
        <f t="shared" si="79"/>
        <v>4386.5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78"/>
        <v>37-48 months</v>
      </c>
      <c r="X2548">
        <f t="shared" si="79"/>
        <v>1903.7500000000002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78"/>
        <v>49+ months</v>
      </c>
      <c r="X2549">
        <f t="shared" si="79"/>
        <v>2033.2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78"/>
        <v>0-12 months</v>
      </c>
      <c r="X2550">
        <f t="shared" si="79"/>
        <v>559.6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78"/>
        <v>0-12 months</v>
      </c>
      <c r="X2551">
        <f t="shared" si="79"/>
        <v>40.1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78"/>
        <v>49+ months</v>
      </c>
      <c r="X2552">
        <f t="shared" si="79"/>
        <v>1122.8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78"/>
        <v>0-12 months</v>
      </c>
      <c r="X2553">
        <f t="shared" si="79"/>
        <v>233.39999999999998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78"/>
        <v>37-48 months</v>
      </c>
      <c r="X2554">
        <f t="shared" si="79"/>
        <v>1264.3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78"/>
        <v>0-12 months</v>
      </c>
      <c r="X2555">
        <f t="shared" si="79"/>
        <v>38.4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78"/>
        <v>37-48 months</v>
      </c>
      <c r="X2556">
        <f t="shared" si="79"/>
        <v>900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78"/>
        <v>0-12 months</v>
      </c>
      <c r="X2557">
        <f t="shared" si="79"/>
        <v>480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78"/>
        <v>37-48 months</v>
      </c>
      <c r="X2558">
        <f t="shared" si="79"/>
        <v>3804.75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78"/>
        <v>0-12 months</v>
      </c>
      <c r="X2559">
        <f t="shared" si="79"/>
        <v>136.35000000000002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78"/>
        <v>37-48 months</v>
      </c>
      <c r="X2560">
        <f t="shared" si="79"/>
        <v>761.9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78"/>
        <v>49+ months</v>
      </c>
      <c r="X2561">
        <f t="shared" si="79"/>
        <v>8319.6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78"/>
        <v>37-48 months</v>
      </c>
      <c r="X2562">
        <f t="shared" si="79"/>
        <v>4310.2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80">IF(F2563&lt;=12,"0-12 months",
IF(A2563&lt;=24,"13-24 months",
IF(A2563&lt;=36,"25-36 months",
IF(F2563&lt;=48,"37-48 months","49+ months"))))</f>
        <v>49+ months</v>
      </c>
      <c r="X2563">
        <f t="shared" ref="X2563:X2626" si="81">S2563 * F2563</f>
        <v>7029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80"/>
        <v>49+ months</v>
      </c>
      <c r="X2564">
        <f t="shared" si="81"/>
        <v>3336.2999999999997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80"/>
        <v>37-48 months</v>
      </c>
      <c r="X2565">
        <f t="shared" si="81"/>
        <v>2648.75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80"/>
        <v>37-48 months</v>
      </c>
      <c r="X2566">
        <f t="shared" si="81"/>
        <v>1476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80"/>
        <v>37-48 months</v>
      </c>
      <c r="X2567">
        <f t="shared" si="81"/>
        <v>325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80"/>
        <v>49+ months</v>
      </c>
      <c r="X2568">
        <f t="shared" si="81"/>
        <v>5950.75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80"/>
        <v>49+ months</v>
      </c>
      <c r="X2569">
        <f t="shared" si="81"/>
        <v>5745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80"/>
        <v>37-48 months</v>
      </c>
      <c r="X2570">
        <f t="shared" si="81"/>
        <v>290.25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80"/>
        <v>49+ months</v>
      </c>
      <c r="X2571">
        <f t="shared" si="81"/>
        <v>1789.2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80"/>
        <v>37-48 months</v>
      </c>
      <c r="X2572">
        <f t="shared" si="81"/>
        <v>2821.5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80"/>
        <v>37-48 months</v>
      </c>
      <c r="X2573">
        <f t="shared" si="81"/>
        <v>4216.8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80"/>
        <v>49+ months</v>
      </c>
      <c r="X2574">
        <f t="shared" si="81"/>
        <v>1775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80"/>
        <v>0-12 months</v>
      </c>
      <c r="X2575">
        <f t="shared" si="81"/>
        <v>54.75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80"/>
        <v>37-48 months</v>
      </c>
      <c r="X2576">
        <f t="shared" si="81"/>
        <v>3730.3500000000004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80"/>
        <v>37-48 months</v>
      </c>
      <c r="X2577">
        <f t="shared" si="81"/>
        <v>673.75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80"/>
        <v>49+ months</v>
      </c>
      <c r="X2578">
        <f t="shared" si="81"/>
        <v>5737.25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80"/>
        <v>0-12 months</v>
      </c>
      <c r="X2579">
        <f t="shared" si="81"/>
        <v>94.6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80"/>
        <v>37-48 months</v>
      </c>
      <c r="X2580">
        <f t="shared" si="81"/>
        <v>3065.9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80"/>
        <v>37-48 months</v>
      </c>
      <c r="X2581">
        <f t="shared" si="81"/>
        <v>967.19999999999993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80"/>
        <v>37-48 months</v>
      </c>
      <c r="X2582">
        <f t="shared" si="81"/>
        <v>3039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80"/>
        <v>0-12 months</v>
      </c>
      <c r="X2583">
        <f t="shared" si="81"/>
        <v>200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80"/>
        <v>0-12 months</v>
      </c>
      <c r="X2584">
        <f t="shared" si="81"/>
        <v>1263.5999999999999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80"/>
        <v>49+ months</v>
      </c>
      <c r="X2585">
        <f t="shared" si="81"/>
        <v>3981.45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80"/>
        <v>49+ months</v>
      </c>
      <c r="X2586">
        <f t="shared" si="81"/>
        <v>3784.5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80"/>
        <v>37-48 months</v>
      </c>
      <c r="X2587">
        <f t="shared" si="81"/>
        <v>732.6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80"/>
        <v>37-48 months</v>
      </c>
      <c r="X2588">
        <f t="shared" si="81"/>
        <v>862.40000000000009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80"/>
        <v>37-48 months</v>
      </c>
      <c r="X2589">
        <f t="shared" si="81"/>
        <v>541.35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80"/>
        <v>0-12 months</v>
      </c>
      <c r="X2590">
        <f t="shared" si="81"/>
        <v>395.2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80"/>
        <v>0-12 months</v>
      </c>
      <c r="X2591">
        <f t="shared" si="81"/>
        <v>228.14999999999998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80"/>
        <v>37-48 months</v>
      </c>
      <c r="X2592">
        <f t="shared" si="81"/>
        <v>2210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80"/>
        <v>49+ months</v>
      </c>
      <c r="X2593">
        <f t="shared" si="81"/>
        <v>5734.2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80"/>
        <v>0-12 months</v>
      </c>
      <c r="X2594">
        <f t="shared" si="81"/>
        <v>233.39999999999998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80"/>
        <v>49+ months</v>
      </c>
      <c r="X2595">
        <f t="shared" si="81"/>
        <v>1258.6000000000001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80"/>
        <v>49+ months</v>
      </c>
      <c r="X2596">
        <f t="shared" si="81"/>
        <v>6997.25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80"/>
        <v>49+ months</v>
      </c>
      <c r="X2597">
        <f t="shared" si="81"/>
        <v>5711.95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80"/>
        <v>37-48 months</v>
      </c>
      <c r="X2598">
        <f t="shared" si="81"/>
        <v>1235.8500000000001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80"/>
        <v>49+ months</v>
      </c>
      <c r="X2599">
        <f t="shared" si="81"/>
        <v>7781.5999999999995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80"/>
        <v>0-12 months</v>
      </c>
      <c r="X2600">
        <f t="shared" si="81"/>
        <v>526.05000000000007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80"/>
        <v>49+ months</v>
      </c>
      <c r="X2601">
        <f t="shared" si="81"/>
        <v>5256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80"/>
        <v>0-12 months</v>
      </c>
      <c r="X2602">
        <f t="shared" si="81"/>
        <v>70.099999999999994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80"/>
        <v>49+ months</v>
      </c>
      <c r="X2603">
        <f t="shared" si="81"/>
        <v>7102.8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80"/>
        <v>49+ months</v>
      </c>
      <c r="X2604">
        <f t="shared" si="81"/>
        <v>7132.8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80"/>
        <v>49+ months</v>
      </c>
      <c r="X2605">
        <f t="shared" si="81"/>
        <v>8272.8000000000011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80"/>
        <v>37-48 months</v>
      </c>
      <c r="X2606">
        <f t="shared" si="81"/>
        <v>2915.95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80"/>
        <v>37-48 months</v>
      </c>
      <c r="X2607">
        <f t="shared" si="81"/>
        <v>265.2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80"/>
        <v>37-48 months</v>
      </c>
      <c r="X2608">
        <f t="shared" si="81"/>
        <v>3234.85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80"/>
        <v>0-12 months</v>
      </c>
      <c r="X2609">
        <f t="shared" si="81"/>
        <v>69.75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80"/>
        <v>0-12 months</v>
      </c>
      <c r="X2610">
        <f t="shared" si="81"/>
        <v>241.5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80"/>
        <v>49+ months</v>
      </c>
      <c r="X2611">
        <f t="shared" si="81"/>
        <v>6438.55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80"/>
        <v>37-48 months</v>
      </c>
      <c r="X2612">
        <f t="shared" si="81"/>
        <v>1173.9000000000001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80"/>
        <v>0-12 months</v>
      </c>
      <c r="X2613">
        <f t="shared" si="81"/>
        <v>703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80"/>
        <v>37-48 months</v>
      </c>
      <c r="X2614">
        <f t="shared" si="81"/>
        <v>1126.3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80"/>
        <v>0-12 months</v>
      </c>
      <c r="X2615">
        <f t="shared" si="81"/>
        <v>80.2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80"/>
        <v>49+ months</v>
      </c>
      <c r="X2616">
        <f t="shared" si="81"/>
        <v>6321.45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80"/>
        <v>49+ months</v>
      </c>
      <c r="X2617">
        <f t="shared" si="81"/>
        <v>6577.2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80"/>
        <v>0-12 months</v>
      </c>
      <c r="X2618">
        <f t="shared" si="81"/>
        <v>267.60000000000002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80"/>
        <v>0-12 months</v>
      </c>
      <c r="X2619">
        <f t="shared" si="81"/>
        <v>19.600000000000001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80"/>
        <v>37-48 months</v>
      </c>
      <c r="X2620">
        <f t="shared" si="81"/>
        <v>497.49999999999994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80"/>
        <v>37-48 months</v>
      </c>
      <c r="X2621">
        <f t="shared" si="81"/>
        <v>3644.85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80"/>
        <v>37-48 months</v>
      </c>
      <c r="X2622">
        <f t="shared" si="81"/>
        <v>1230.3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80"/>
        <v>49+ months</v>
      </c>
      <c r="X2623">
        <f t="shared" si="81"/>
        <v>5616.0999999999995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80"/>
        <v>37-48 months</v>
      </c>
      <c r="X2624">
        <f t="shared" si="81"/>
        <v>1428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80"/>
        <v>0-12 months</v>
      </c>
      <c r="X2625">
        <f t="shared" si="81"/>
        <v>161.1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80"/>
        <v>37-48 months</v>
      </c>
      <c r="X2626">
        <f t="shared" si="81"/>
        <v>1133.9000000000001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82">IF(F2627&lt;=12,"0-12 months",
IF(A2627&lt;=24,"13-24 months",
IF(A2627&lt;=36,"25-36 months",
IF(F2627&lt;=48,"37-48 months","49+ months"))))</f>
        <v>49+ months</v>
      </c>
      <c r="X2627">
        <f t="shared" ref="X2627:X2690" si="83">S2627 * F2627</f>
        <v>4838.4000000000005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82"/>
        <v>49+ months</v>
      </c>
      <c r="X2628">
        <f t="shared" si="83"/>
        <v>3003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82"/>
        <v>37-48 months</v>
      </c>
      <c r="X2629">
        <f t="shared" si="83"/>
        <v>848.1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82"/>
        <v>0-12 months</v>
      </c>
      <c r="X2630">
        <f t="shared" si="83"/>
        <v>83.4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82"/>
        <v>0-12 months</v>
      </c>
      <c r="X2631">
        <f t="shared" si="83"/>
        <v>141.4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82"/>
        <v>49+ months</v>
      </c>
      <c r="X2632">
        <f t="shared" si="83"/>
        <v>5332.9500000000007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82"/>
        <v>0-12 months</v>
      </c>
      <c r="X2633">
        <f t="shared" si="83"/>
        <v>694.75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82"/>
        <v>49+ months</v>
      </c>
      <c r="X2634">
        <f t="shared" si="83"/>
        <v>3561.25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82"/>
        <v>49+ months</v>
      </c>
      <c r="X2635">
        <f t="shared" si="83"/>
        <v>6509.75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82"/>
        <v>0-12 months</v>
      </c>
      <c r="X2636">
        <f t="shared" si="83"/>
        <v>84.8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82"/>
        <v>49+ months</v>
      </c>
      <c r="X2637">
        <f t="shared" si="83"/>
        <v>1590.75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82"/>
        <v>49+ months</v>
      </c>
      <c r="X2638">
        <f t="shared" si="83"/>
        <v>7910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82"/>
        <v>37-48 months</v>
      </c>
      <c r="X2639">
        <f t="shared" si="83"/>
        <v>1463.3999999999999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82"/>
        <v>49+ months</v>
      </c>
      <c r="X2640">
        <f t="shared" si="83"/>
        <v>5460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82"/>
        <v>37-48 months</v>
      </c>
      <c r="X2641">
        <f t="shared" si="83"/>
        <v>1197.9000000000001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82"/>
        <v>37-48 months</v>
      </c>
      <c r="X2642">
        <f t="shared" si="83"/>
        <v>2088.9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82"/>
        <v>0-12 months</v>
      </c>
      <c r="X2643">
        <f t="shared" si="83"/>
        <v>299.5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82"/>
        <v>37-48 months</v>
      </c>
      <c r="X2644">
        <f t="shared" si="83"/>
        <v>4009.1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82"/>
        <v>37-48 months</v>
      </c>
      <c r="X2645">
        <f t="shared" si="83"/>
        <v>2750.5499999999997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82"/>
        <v>37-48 months</v>
      </c>
      <c r="X2646">
        <f t="shared" si="83"/>
        <v>603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82"/>
        <v>0-12 months</v>
      </c>
      <c r="X2647">
        <f t="shared" si="83"/>
        <v>19.8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82"/>
        <v>49+ months</v>
      </c>
      <c r="X2648">
        <f t="shared" si="83"/>
        <v>4580.8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82"/>
        <v>0-12 months</v>
      </c>
      <c r="X2649">
        <f t="shared" si="83"/>
        <v>40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82"/>
        <v>37-48 months</v>
      </c>
      <c r="X2650">
        <f t="shared" si="83"/>
        <v>2086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82"/>
        <v>49+ months</v>
      </c>
      <c r="X2651">
        <f t="shared" si="83"/>
        <v>1600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82"/>
        <v>37-48 months</v>
      </c>
      <c r="X2652">
        <f t="shared" si="83"/>
        <v>1265.25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82"/>
        <v>37-48 months</v>
      </c>
      <c r="X2653">
        <f t="shared" si="83"/>
        <v>2168.3999999999996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82"/>
        <v>0-12 months</v>
      </c>
      <c r="X2654">
        <f t="shared" si="83"/>
        <v>55.55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82"/>
        <v>49+ months</v>
      </c>
      <c r="X2655">
        <f t="shared" si="83"/>
        <v>5274.5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82"/>
        <v>0-12 months</v>
      </c>
      <c r="X2656">
        <f t="shared" si="83"/>
        <v>90.75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82"/>
        <v>0-12 months</v>
      </c>
      <c r="X2657">
        <f t="shared" si="83"/>
        <v>358.4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82"/>
        <v>37-48 months</v>
      </c>
      <c r="X2658">
        <f t="shared" si="83"/>
        <v>2312.6999999999998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82"/>
        <v>37-48 months</v>
      </c>
      <c r="X2659">
        <f t="shared" si="83"/>
        <v>1916.8999999999999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82"/>
        <v>37-48 months</v>
      </c>
      <c r="X2660">
        <f t="shared" si="83"/>
        <v>263.2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82"/>
        <v>49+ months</v>
      </c>
      <c r="X2661">
        <f t="shared" si="83"/>
        <v>5273.45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82"/>
        <v>37-48 months</v>
      </c>
      <c r="X2662">
        <f t="shared" si="83"/>
        <v>677.30000000000007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82"/>
        <v>49+ months</v>
      </c>
      <c r="X2663">
        <f t="shared" si="83"/>
        <v>3128.4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82"/>
        <v>0-12 months</v>
      </c>
      <c r="X2664">
        <f t="shared" si="83"/>
        <v>98.5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82"/>
        <v>49+ months</v>
      </c>
      <c r="X2665">
        <f t="shared" si="83"/>
        <v>6439.85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82"/>
        <v>49+ months</v>
      </c>
      <c r="X2666">
        <f t="shared" si="83"/>
        <v>5886.9000000000005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82"/>
        <v>37-48 months</v>
      </c>
      <c r="X2667">
        <f t="shared" si="83"/>
        <v>3087.15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82"/>
        <v>49+ months</v>
      </c>
      <c r="X2668">
        <f t="shared" si="83"/>
        <v>5247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82"/>
        <v>49+ months</v>
      </c>
      <c r="X2669">
        <f t="shared" si="83"/>
        <v>8283.6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82"/>
        <v>0-12 months</v>
      </c>
      <c r="X2670">
        <f t="shared" si="83"/>
        <v>19.75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82"/>
        <v>37-48 months</v>
      </c>
      <c r="X2671">
        <f t="shared" si="83"/>
        <v>1807.8500000000001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82"/>
        <v>49+ months</v>
      </c>
      <c r="X2672">
        <f t="shared" si="83"/>
        <v>4852.6500000000005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82"/>
        <v>49+ months</v>
      </c>
      <c r="X2673">
        <f t="shared" si="83"/>
        <v>6640.2000000000007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82"/>
        <v>37-48 months</v>
      </c>
      <c r="X2674">
        <f t="shared" si="83"/>
        <v>542.70000000000005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82"/>
        <v>37-48 months</v>
      </c>
      <c r="X2675">
        <f t="shared" si="83"/>
        <v>2229.6999999999998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82"/>
        <v>0-12 months</v>
      </c>
      <c r="X2676">
        <f t="shared" si="83"/>
        <v>80.2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82"/>
        <v>37-48 months</v>
      </c>
      <c r="X2677">
        <f t="shared" si="83"/>
        <v>869.4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82"/>
        <v>37-48 months</v>
      </c>
      <c r="X2678">
        <f t="shared" si="83"/>
        <v>590.15000000000009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82"/>
        <v>0-12 months</v>
      </c>
      <c r="X2679">
        <f t="shared" si="83"/>
        <v>280.2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82"/>
        <v>37-48 months</v>
      </c>
      <c r="X2680">
        <f t="shared" si="83"/>
        <v>591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82"/>
        <v>0-12 months</v>
      </c>
      <c r="X2681">
        <f t="shared" si="83"/>
        <v>298.60000000000002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82"/>
        <v>49+ months</v>
      </c>
      <c r="X2682">
        <f t="shared" si="83"/>
        <v>6066.95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82"/>
        <v>37-48 months</v>
      </c>
      <c r="X2683">
        <f t="shared" si="83"/>
        <v>1858.3999999999999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82"/>
        <v>0-12 months</v>
      </c>
      <c r="X2684">
        <f t="shared" si="83"/>
        <v>201.6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82"/>
        <v>0-12 months</v>
      </c>
      <c r="X2685">
        <f t="shared" si="83"/>
        <v>557.55000000000007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82"/>
        <v>49+ months</v>
      </c>
      <c r="X2686">
        <f t="shared" si="83"/>
        <v>7258.8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82"/>
        <v>49+ months</v>
      </c>
      <c r="X2687">
        <f t="shared" si="83"/>
        <v>7246.8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82"/>
        <v>37-48 months</v>
      </c>
      <c r="X2688">
        <f t="shared" si="83"/>
        <v>1517.1499999999999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82"/>
        <v>37-48 months</v>
      </c>
      <c r="X2689">
        <f t="shared" si="83"/>
        <v>2548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82"/>
        <v>0-12 months</v>
      </c>
      <c r="X2690">
        <f t="shared" si="83"/>
        <v>393.75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84">IF(F2691&lt;=12,"0-12 months",
IF(A2691&lt;=24,"13-24 months",
IF(A2691&lt;=36,"25-36 months",
IF(F2691&lt;=48,"37-48 months","49+ months"))))</f>
        <v>49+ months</v>
      </c>
      <c r="X2691">
        <f t="shared" ref="X2691:X2754" si="85">S2691 * F2691</f>
        <v>8406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84"/>
        <v>0-12 months</v>
      </c>
      <c r="X2692">
        <f t="shared" si="85"/>
        <v>643.6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84"/>
        <v>0-12 months</v>
      </c>
      <c r="X2693">
        <f t="shared" si="85"/>
        <v>413.7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84"/>
        <v>37-48 months</v>
      </c>
      <c r="X2694">
        <f t="shared" si="85"/>
        <v>1095.5999999999999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84"/>
        <v>49+ months</v>
      </c>
      <c r="X2695">
        <f t="shared" si="85"/>
        <v>1389.6000000000001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84"/>
        <v>0-12 months</v>
      </c>
      <c r="X2696">
        <f t="shared" si="85"/>
        <v>157.19999999999999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84"/>
        <v>49+ months</v>
      </c>
      <c r="X2697">
        <f t="shared" si="85"/>
        <v>4232.8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84"/>
        <v>49+ months</v>
      </c>
      <c r="X2698">
        <f t="shared" si="85"/>
        <v>2645.2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84"/>
        <v>49+ months</v>
      </c>
      <c r="X2699">
        <f t="shared" si="85"/>
        <v>6244.45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84"/>
        <v>0-12 months</v>
      </c>
      <c r="X2700">
        <f t="shared" si="85"/>
        <v>39.700000000000003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84"/>
        <v>37-48 months</v>
      </c>
      <c r="X2701">
        <f t="shared" si="85"/>
        <v>3275.8999999999996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84"/>
        <v>37-48 months</v>
      </c>
      <c r="X2702">
        <f t="shared" si="85"/>
        <v>845.25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84"/>
        <v>49+ months</v>
      </c>
      <c r="X2703">
        <f t="shared" si="85"/>
        <v>1165.1000000000001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84"/>
        <v>0-12 months</v>
      </c>
      <c r="X2704">
        <f t="shared" si="85"/>
        <v>44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84"/>
        <v>0-12 months</v>
      </c>
      <c r="X2705">
        <f t="shared" si="85"/>
        <v>50.1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84"/>
        <v>49+ months</v>
      </c>
      <c r="X2706">
        <f t="shared" si="85"/>
        <v>3211.8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84"/>
        <v>49+ months</v>
      </c>
      <c r="X2707">
        <f t="shared" si="85"/>
        <v>1846.8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84"/>
        <v>0-12 months</v>
      </c>
      <c r="X2708">
        <f t="shared" si="85"/>
        <v>152.80000000000001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84"/>
        <v>0-12 months</v>
      </c>
      <c r="X2709">
        <f t="shared" si="85"/>
        <v>296.10000000000002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84"/>
        <v>37-48 months</v>
      </c>
      <c r="X2710">
        <f t="shared" si="85"/>
        <v>1310.3999999999999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84"/>
        <v>37-48 months</v>
      </c>
      <c r="X2711">
        <f t="shared" si="85"/>
        <v>2211.9500000000003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84"/>
        <v>37-48 months</v>
      </c>
      <c r="X2712">
        <f t="shared" si="85"/>
        <v>489.59999999999997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84"/>
        <v>37-48 months</v>
      </c>
      <c r="X2713">
        <f t="shared" si="85"/>
        <v>2522.7999999999997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84"/>
        <v>0-12 months</v>
      </c>
      <c r="X2714">
        <f t="shared" si="85"/>
        <v>234.8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84"/>
        <v>0-12 months</v>
      </c>
      <c r="X2715">
        <f t="shared" si="85"/>
        <v>20.45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84"/>
        <v>49+ months</v>
      </c>
      <c r="X2716">
        <f t="shared" si="85"/>
        <v>5135.3999999999996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84"/>
        <v>37-48 months</v>
      </c>
      <c r="X2717">
        <f t="shared" si="85"/>
        <v>1035.25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84"/>
        <v>37-48 months</v>
      </c>
      <c r="X2718">
        <f t="shared" si="85"/>
        <v>853.1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84"/>
        <v>49+ months</v>
      </c>
      <c r="X2719">
        <f t="shared" si="85"/>
        <v>6670.8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84"/>
        <v>49+ months</v>
      </c>
      <c r="X2720">
        <f t="shared" si="85"/>
        <v>2709.4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84"/>
        <v>49+ months</v>
      </c>
      <c r="X2721">
        <f t="shared" si="85"/>
        <v>4065.5999999999995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84"/>
        <v>37-48 months</v>
      </c>
      <c r="X2722">
        <f t="shared" si="85"/>
        <v>773.25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84"/>
        <v>0-12 months</v>
      </c>
      <c r="X2723">
        <f t="shared" si="85"/>
        <v>792.5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84"/>
        <v>37-48 months</v>
      </c>
      <c r="X2724">
        <f t="shared" si="85"/>
        <v>606.4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84"/>
        <v>37-48 months</v>
      </c>
      <c r="X2725">
        <f t="shared" si="85"/>
        <v>430.5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84"/>
        <v>49+ months</v>
      </c>
      <c r="X2726">
        <f t="shared" si="85"/>
        <v>1236.8999999999999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84"/>
        <v>0-12 months</v>
      </c>
      <c r="X2727">
        <f t="shared" si="85"/>
        <v>49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84"/>
        <v>37-48 months</v>
      </c>
      <c r="X2728">
        <f t="shared" si="85"/>
        <v>556.20000000000005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84"/>
        <v>0-12 months</v>
      </c>
      <c r="X2729">
        <f t="shared" si="85"/>
        <v>474.25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84"/>
        <v>37-48 months</v>
      </c>
      <c r="X2730">
        <f t="shared" si="85"/>
        <v>1526.25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84"/>
        <v>0-12 months</v>
      </c>
      <c r="X2731">
        <f t="shared" si="85"/>
        <v>171.4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84"/>
        <v>49+ months</v>
      </c>
      <c r="X2732">
        <f t="shared" si="85"/>
        <v>5225.8500000000004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84"/>
        <v>49+ months</v>
      </c>
      <c r="X2733">
        <f t="shared" si="85"/>
        <v>6819.75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84"/>
        <v>0-12 months</v>
      </c>
      <c r="X2734">
        <f t="shared" si="85"/>
        <v>81.599999999999994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84"/>
        <v>0-12 months</v>
      </c>
      <c r="X2735">
        <f t="shared" si="85"/>
        <v>55.3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84"/>
        <v>0-12 months</v>
      </c>
      <c r="X2736">
        <f t="shared" si="85"/>
        <v>222.75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84"/>
        <v>49+ months</v>
      </c>
      <c r="X2737">
        <f t="shared" si="85"/>
        <v>3793.4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84"/>
        <v>49+ months</v>
      </c>
      <c r="X2738">
        <f t="shared" si="85"/>
        <v>5367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84"/>
        <v>49+ months</v>
      </c>
      <c r="X2739">
        <f t="shared" si="85"/>
        <v>6697.6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84"/>
        <v>37-48 months</v>
      </c>
      <c r="X2740">
        <f t="shared" si="85"/>
        <v>3233.6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84"/>
        <v>49+ months</v>
      </c>
      <c r="X2741">
        <f t="shared" si="85"/>
        <v>6170.1500000000005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84"/>
        <v>0-12 months</v>
      </c>
      <c r="X2742">
        <f t="shared" si="85"/>
        <v>44.4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84"/>
        <v>0-12 months</v>
      </c>
      <c r="X2743">
        <f t="shared" si="85"/>
        <v>447.5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84"/>
        <v>49+ months</v>
      </c>
      <c r="X2744">
        <f t="shared" si="85"/>
        <v>4537.5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84"/>
        <v>49+ months</v>
      </c>
      <c r="X2745">
        <f t="shared" si="85"/>
        <v>7440.3499999999995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84"/>
        <v>37-48 months</v>
      </c>
      <c r="X2746">
        <f t="shared" si="85"/>
        <v>4158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84"/>
        <v>0-12 months</v>
      </c>
      <c r="X2747">
        <f t="shared" si="85"/>
        <v>86.05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84"/>
        <v>37-48 months</v>
      </c>
      <c r="X2748">
        <f t="shared" si="85"/>
        <v>651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84"/>
        <v>0-12 months</v>
      </c>
      <c r="X2749">
        <f t="shared" si="85"/>
        <v>135.79999999999998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84"/>
        <v>0-12 months</v>
      </c>
      <c r="X2750">
        <f t="shared" si="85"/>
        <v>178.2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84"/>
        <v>37-48 months</v>
      </c>
      <c r="X2751">
        <f t="shared" si="85"/>
        <v>2624.8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84"/>
        <v>0-12 months</v>
      </c>
      <c r="X2752">
        <f t="shared" si="85"/>
        <v>58.349999999999994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84"/>
        <v>37-48 months</v>
      </c>
      <c r="X2753">
        <f t="shared" si="85"/>
        <v>472.15000000000003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84"/>
        <v>37-48 months</v>
      </c>
      <c r="X2754">
        <f t="shared" si="85"/>
        <v>1097.3999999999999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86">IF(F2755&lt;=12,"0-12 months",
IF(A2755&lt;=24,"13-24 months",
IF(A2755&lt;=36,"25-36 months",
IF(F2755&lt;=48,"37-48 months","49+ months"))))</f>
        <v>0-12 months</v>
      </c>
      <c r="X2755">
        <f t="shared" ref="X2755:X2818" si="87">S2755 * F2755</f>
        <v>95.65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86"/>
        <v>0-12 months</v>
      </c>
      <c r="X2756">
        <f t="shared" si="87"/>
        <v>124.05000000000001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86"/>
        <v>37-48 months</v>
      </c>
      <c r="X2757">
        <f t="shared" si="87"/>
        <v>901.6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86"/>
        <v>0-12 months</v>
      </c>
      <c r="X2758">
        <f t="shared" si="87"/>
        <v>20.95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86"/>
        <v>49+ months</v>
      </c>
      <c r="X2759">
        <f t="shared" si="87"/>
        <v>5827.05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86"/>
        <v>0-12 months</v>
      </c>
      <c r="X2760">
        <f t="shared" si="87"/>
        <v>101.25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86"/>
        <v>0-12 months</v>
      </c>
      <c r="X2761">
        <f t="shared" si="87"/>
        <v>19.649999999999999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86"/>
        <v>37-48 months</v>
      </c>
      <c r="X2762">
        <f t="shared" si="87"/>
        <v>536.9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86"/>
        <v>0-12 months</v>
      </c>
      <c r="X2763">
        <f t="shared" si="87"/>
        <v>347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86"/>
        <v>37-48 months</v>
      </c>
      <c r="X2764">
        <f t="shared" si="87"/>
        <v>2482.5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86"/>
        <v>49+ months</v>
      </c>
      <c r="X2765">
        <f t="shared" si="87"/>
        <v>5187.2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86"/>
        <v>37-48 months</v>
      </c>
      <c r="X2766">
        <f t="shared" si="87"/>
        <v>2027.9999999999998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86"/>
        <v>37-48 months</v>
      </c>
      <c r="X2767">
        <f t="shared" si="87"/>
        <v>911.95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86"/>
        <v>49+ months</v>
      </c>
      <c r="X2768">
        <f t="shared" si="87"/>
        <v>7360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86"/>
        <v>37-48 months</v>
      </c>
      <c r="X2769">
        <f t="shared" si="87"/>
        <v>3900.7999999999997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86"/>
        <v>0-12 months</v>
      </c>
      <c r="X2770">
        <f t="shared" si="87"/>
        <v>236.39999999999998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86"/>
        <v>37-48 months</v>
      </c>
      <c r="X2771">
        <f t="shared" si="87"/>
        <v>296.25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86"/>
        <v>37-48 months</v>
      </c>
      <c r="X2772">
        <f t="shared" si="87"/>
        <v>1573.35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86"/>
        <v>37-48 months</v>
      </c>
      <c r="X2773">
        <f t="shared" si="87"/>
        <v>820.94999999999993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86"/>
        <v>49+ months</v>
      </c>
      <c r="X2774">
        <f t="shared" si="87"/>
        <v>4958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86"/>
        <v>37-48 months</v>
      </c>
      <c r="X2775">
        <f t="shared" si="87"/>
        <v>698.40000000000009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86"/>
        <v>0-12 months</v>
      </c>
      <c r="X2776">
        <f t="shared" si="87"/>
        <v>300.29999999999995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86"/>
        <v>49+ months</v>
      </c>
      <c r="X2777">
        <f t="shared" si="87"/>
        <v>3182.6499999999996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86"/>
        <v>37-48 months</v>
      </c>
      <c r="X2778">
        <f t="shared" si="87"/>
        <v>1188.8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86"/>
        <v>0-12 months</v>
      </c>
      <c r="X2779">
        <f t="shared" si="87"/>
        <v>200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86"/>
        <v>37-48 months</v>
      </c>
      <c r="X2780">
        <f t="shared" si="87"/>
        <v>970.45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86"/>
        <v>0-12 months</v>
      </c>
      <c r="X2781">
        <f t="shared" si="87"/>
        <v>768.15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86"/>
        <v>37-48 months</v>
      </c>
      <c r="X2782">
        <f t="shared" si="87"/>
        <v>1857.5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86"/>
        <v>0-12 months</v>
      </c>
      <c r="X2783">
        <f t="shared" si="87"/>
        <v>310.8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86"/>
        <v>37-48 months</v>
      </c>
      <c r="X2784">
        <f t="shared" si="87"/>
        <v>3245.2000000000003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86"/>
        <v>37-48 months</v>
      </c>
      <c r="X2785">
        <f t="shared" si="87"/>
        <v>4046.2999999999997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86"/>
        <v>0-12 months</v>
      </c>
      <c r="X2786">
        <f t="shared" si="87"/>
        <v>392.4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86"/>
        <v>37-48 months</v>
      </c>
      <c r="X2787">
        <f t="shared" si="87"/>
        <v>2722.5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86"/>
        <v>37-48 months</v>
      </c>
      <c r="X2788">
        <f t="shared" si="87"/>
        <v>1517.4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86"/>
        <v>49+ months</v>
      </c>
      <c r="X2789">
        <f t="shared" si="87"/>
        <v>1879.2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86"/>
        <v>49+ months</v>
      </c>
      <c r="X2790">
        <f t="shared" si="87"/>
        <v>6066.95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86"/>
        <v>37-48 months</v>
      </c>
      <c r="X2791">
        <f t="shared" si="87"/>
        <v>2134.8000000000002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86"/>
        <v>49+ months</v>
      </c>
      <c r="X2792">
        <f t="shared" si="87"/>
        <v>5482.5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86"/>
        <v>49+ months</v>
      </c>
      <c r="X2793">
        <f t="shared" si="87"/>
        <v>4237.95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86"/>
        <v>37-48 months</v>
      </c>
      <c r="X2794">
        <f t="shared" si="87"/>
        <v>732.75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86"/>
        <v>0-12 months</v>
      </c>
      <c r="X2795">
        <f t="shared" si="87"/>
        <v>320.39999999999998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86"/>
        <v>37-48 months</v>
      </c>
      <c r="X2796">
        <f t="shared" si="87"/>
        <v>1569.3999999999999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86"/>
        <v>0-12 months</v>
      </c>
      <c r="X2797">
        <f t="shared" si="87"/>
        <v>670.94999999999993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86"/>
        <v>49+ months</v>
      </c>
      <c r="X2798">
        <f t="shared" si="87"/>
        <v>4939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86"/>
        <v>0-12 months</v>
      </c>
      <c r="X2799">
        <f t="shared" si="87"/>
        <v>302.85000000000002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86"/>
        <v>0-12 months</v>
      </c>
      <c r="X2800">
        <f t="shared" si="87"/>
        <v>949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86"/>
        <v>49+ months</v>
      </c>
      <c r="X2801">
        <f t="shared" si="87"/>
        <v>1050.5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86"/>
        <v>37-48 months</v>
      </c>
      <c r="X2802">
        <f t="shared" si="87"/>
        <v>407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86"/>
        <v>49+ months</v>
      </c>
      <c r="X2803">
        <f t="shared" si="87"/>
        <v>6575.0999999999995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86"/>
        <v>37-48 months</v>
      </c>
      <c r="X2804">
        <f t="shared" si="87"/>
        <v>3356.8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86"/>
        <v>37-48 months</v>
      </c>
      <c r="X2805">
        <f t="shared" si="87"/>
        <v>844.94999999999993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86"/>
        <v>0-12 months</v>
      </c>
      <c r="X2806">
        <f t="shared" si="87"/>
        <v>216.9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86"/>
        <v>49+ months</v>
      </c>
      <c r="X2807">
        <f t="shared" si="87"/>
        <v>3591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86"/>
        <v>49+ months</v>
      </c>
      <c r="X2808">
        <f t="shared" si="87"/>
        <v>4993.7999999999993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86"/>
        <v>0-12 months</v>
      </c>
      <c r="X2809">
        <f t="shared" si="87"/>
        <v>136.15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86"/>
        <v>0-12 months</v>
      </c>
      <c r="X2810">
        <f t="shared" si="87"/>
        <v>194.2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86"/>
        <v>37-48 months</v>
      </c>
      <c r="X2811">
        <f t="shared" si="87"/>
        <v>1356.05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86"/>
        <v>49+ months</v>
      </c>
      <c r="X2812">
        <f t="shared" si="87"/>
        <v>6753.5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86"/>
        <v>37-48 months</v>
      </c>
      <c r="X2813">
        <f t="shared" si="87"/>
        <v>770.25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86"/>
        <v>49+ months</v>
      </c>
      <c r="X2814">
        <f t="shared" si="87"/>
        <v>6867.3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86"/>
        <v>49+ months</v>
      </c>
      <c r="X2815">
        <f t="shared" si="87"/>
        <v>1669.4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86"/>
        <v>49+ months</v>
      </c>
      <c r="X2816">
        <f t="shared" si="87"/>
        <v>3019.4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86"/>
        <v>0-12 months</v>
      </c>
      <c r="X2817">
        <f t="shared" si="87"/>
        <v>265.04999999999995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86"/>
        <v>49+ months</v>
      </c>
      <c r="X2818">
        <f t="shared" si="87"/>
        <v>7887.5999999999995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88">IF(F2819&lt;=12,"0-12 months",
IF(A2819&lt;=24,"13-24 months",
IF(A2819&lt;=36,"25-36 months",
IF(F2819&lt;=48,"37-48 months","49+ months"))))</f>
        <v>37-48 months</v>
      </c>
      <c r="X2819">
        <f t="shared" ref="X2819:X2882" si="89">S2819 * F2819</f>
        <v>846.65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88"/>
        <v>37-48 months</v>
      </c>
      <c r="X2820">
        <f t="shared" si="89"/>
        <v>2744.8500000000004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88"/>
        <v>0-12 months</v>
      </c>
      <c r="X2821">
        <f t="shared" si="89"/>
        <v>220.8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88"/>
        <v>49+ months</v>
      </c>
      <c r="X2822">
        <f t="shared" si="89"/>
        <v>1274.6500000000001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88"/>
        <v>0-12 months</v>
      </c>
      <c r="X2823">
        <f t="shared" si="89"/>
        <v>74.400000000000006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88"/>
        <v>37-48 months</v>
      </c>
      <c r="X2824">
        <f t="shared" si="89"/>
        <v>3275.9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88"/>
        <v>37-48 months</v>
      </c>
      <c r="X2825">
        <f t="shared" si="89"/>
        <v>797.55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88"/>
        <v>49+ months</v>
      </c>
      <c r="X2826">
        <f t="shared" si="89"/>
        <v>1212.75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88"/>
        <v>37-48 months</v>
      </c>
      <c r="X2827">
        <f t="shared" si="89"/>
        <v>395.25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88"/>
        <v>37-48 months</v>
      </c>
      <c r="X2828">
        <f t="shared" si="89"/>
        <v>569.4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88"/>
        <v>0-12 months</v>
      </c>
      <c r="X2829">
        <f t="shared" si="89"/>
        <v>50.15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88"/>
        <v>0-12 months</v>
      </c>
      <c r="X2830">
        <f t="shared" si="89"/>
        <v>20.45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88"/>
        <v>0-12 months</v>
      </c>
      <c r="X2831">
        <f t="shared" si="89"/>
        <v>557.6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88"/>
        <v>49+ months</v>
      </c>
      <c r="X2832">
        <f t="shared" si="89"/>
        <v>3684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88"/>
        <v>0-12 months</v>
      </c>
      <c r="X2833">
        <f t="shared" si="89"/>
        <v>1177.1999999999998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88"/>
        <v>37-48 months</v>
      </c>
      <c r="X2834">
        <f t="shared" si="89"/>
        <v>2830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88"/>
        <v>49+ months</v>
      </c>
      <c r="X2835">
        <f t="shared" si="89"/>
        <v>4035.9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88"/>
        <v>37-48 months</v>
      </c>
      <c r="X2836">
        <f t="shared" si="89"/>
        <v>850.5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88"/>
        <v>49+ months</v>
      </c>
      <c r="X2837">
        <f t="shared" si="89"/>
        <v>4214.1000000000004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88"/>
        <v>49+ months</v>
      </c>
      <c r="X2838">
        <f t="shared" si="89"/>
        <v>4836.3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88"/>
        <v>0-12 months</v>
      </c>
      <c r="X2839">
        <f t="shared" si="89"/>
        <v>20.5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88"/>
        <v>37-48 months</v>
      </c>
      <c r="X2840">
        <f t="shared" si="89"/>
        <v>820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88"/>
        <v>37-48 months</v>
      </c>
      <c r="X2841">
        <f t="shared" si="89"/>
        <v>791.30000000000007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88"/>
        <v>37-48 months</v>
      </c>
      <c r="X2842">
        <f t="shared" si="89"/>
        <v>1941.2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88"/>
        <v>0-12 months</v>
      </c>
      <c r="X2843">
        <f t="shared" si="89"/>
        <v>75.300000000000011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88"/>
        <v>0-12 months</v>
      </c>
      <c r="X2844">
        <f t="shared" si="89"/>
        <v>193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88"/>
        <v>49+ months</v>
      </c>
      <c r="X2845">
        <f t="shared" si="89"/>
        <v>1032.2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88"/>
        <v>0-12 months</v>
      </c>
      <c r="X2846">
        <f t="shared" si="89"/>
        <v>398.4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88"/>
        <v>0-12 months</v>
      </c>
      <c r="X2847">
        <f t="shared" si="89"/>
        <v>1036.2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88"/>
        <v>0-12 months</v>
      </c>
      <c r="X2848">
        <f t="shared" si="89"/>
        <v>124.3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88"/>
        <v>37-48 months</v>
      </c>
      <c r="X2849">
        <f t="shared" si="89"/>
        <v>2061.7999999999997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88"/>
        <v>37-48 months</v>
      </c>
      <c r="X2850">
        <f t="shared" si="89"/>
        <v>1350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88"/>
        <v>0-12 months</v>
      </c>
      <c r="X2851">
        <f t="shared" si="89"/>
        <v>243.60000000000002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88"/>
        <v>49+ months</v>
      </c>
      <c r="X2852">
        <f t="shared" si="89"/>
        <v>5940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88"/>
        <v>49+ months</v>
      </c>
      <c r="X2853">
        <f t="shared" si="89"/>
        <v>5798.4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88"/>
        <v>49+ months</v>
      </c>
      <c r="X2854">
        <f t="shared" si="89"/>
        <v>5669.4000000000005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88"/>
        <v>49+ months</v>
      </c>
      <c r="X2855">
        <f t="shared" si="89"/>
        <v>4752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88"/>
        <v>37-48 months</v>
      </c>
      <c r="X2856">
        <f t="shared" si="89"/>
        <v>1195.9499999999998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88"/>
        <v>37-48 months</v>
      </c>
      <c r="X2857">
        <f t="shared" si="89"/>
        <v>812.7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88"/>
        <v>0-12 months</v>
      </c>
      <c r="X2858">
        <f t="shared" si="89"/>
        <v>50.15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88"/>
        <v>37-48 months</v>
      </c>
      <c r="X2859">
        <f t="shared" si="89"/>
        <v>2998.6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88"/>
        <v>0-12 months</v>
      </c>
      <c r="X2860">
        <f t="shared" si="89"/>
        <v>205.5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88"/>
        <v>49+ months</v>
      </c>
      <c r="X2861">
        <f t="shared" si="89"/>
        <v>6198.5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88"/>
        <v>49+ months</v>
      </c>
      <c r="X2862">
        <f t="shared" si="89"/>
        <v>6793.8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88"/>
        <v>0-12 months</v>
      </c>
      <c r="X2863">
        <f t="shared" si="89"/>
        <v>81.95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88"/>
        <v>0-12 months</v>
      </c>
      <c r="X2864">
        <f t="shared" si="89"/>
        <v>485.44999999999993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88"/>
        <v>0-12 months</v>
      </c>
      <c r="X2865">
        <f t="shared" si="89"/>
        <v>44.6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88"/>
        <v>0-12 months</v>
      </c>
      <c r="X2866">
        <f t="shared" si="89"/>
        <v>255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88"/>
        <v>49+ months</v>
      </c>
      <c r="X2867">
        <f t="shared" si="89"/>
        <v>7210.5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88"/>
        <v>0-12 months</v>
      </c>
      <c r="X2868">
        <f t="shared" si="89"/>
        <v>1015.1999999999999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88"/>
        <v>37-48 months</v>
      </c>
      <c r="X2869">
        <f t="shared" si="89"/>
        <v>490.79999999999995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88"/>
        <v>37-48 months</v>
      </c>
      <c r="X2870">
        <f t="shared" si="89"/>
        <v>2229.5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88"/>
        <v>0-12 months</v>
      </c>
      <c r="X2871">
        <f t="shared" si="89"/>
        <v>546.59999999999991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88"/>
        <v>49+ months</v>
      </c>
      <c r="X2872">
        <f t="shared" si="89"/>
        <v>6153.1500000000005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88"/>
        <v>37-48 months</v>
      </c>
      <c r="X2873">
        <f t="shared" si="89"/>
        <v>1205.3999999999999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88"/>
        <v>37-48 months</v>
      </c>
      <c r="X2874">
        <f t="shared" si="89"/>
        <v>963.9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88"/>
        <v>37-48 months</v>
      </c>
      <c r="X2875">
        <f t="shared" si="89"/>
        <v>2367.5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88"/>
        <v>49+ months</v>
      </c>
      <c r="X2876">
        <f t="shared" si="89"/>
        <v>1244.8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88"/>
        <v>37-48 months</v>
      </c>
      <c r="X2877">
        <f t="shared" si="89"/>
        <v>1872.1999999999998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88"/>
        <v>37-48 months</v>
      </c>
      <c r="X2878">
        <f t="shared" si="89"/>
        <v>374.3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88"/>
        <v>49+ months</v>
      </c>
      <c r="X2879">
        <f t="shared" si="89"/>
        <v>6048.1500000000005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88"/>
        <v>37-48 months</v>
      </c>
      <c r="X2880">
        <f t="shared" si="89"/>
        <v>1914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88"/>
        <v>49+ months</v>
      </c>
      <c r="X2881">
        <f t="shared" si="89"/>
        <v>7206.5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88"/>
        <v>0-12 months</v>
      </c>
      <c r="X2882">
        <f t="shared" si="89"/>
        <v>959.40000000000009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90">IF(F2883&lt;=12,"0-12 months",
IF(A2883&lt;=24,"13-24 months",
IF(A2883&lt;=36,"25-36 months",
IF(F2883&lt;=48,"37-48 months","49+ months"))))</f>
        <v>37-48 months</v>
      </c>
      <c r="X2883">
        <f t="shared" ref="X2883:X2946" si="91">S2883 * F2883</f>
        <v>1984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90"/>
        <v>0-12 months</v>
      </c>
      <c r="X2884">
        <f t="shared" si="91"/>
        <v>713.90000000000009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90"/>
        <v>49+ months</v>
      </c>
      <c r="X2885">
        <f t="shared" si="91"/>
        <v>1751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90"/>
        <v>49+ months</v>
      </c>
      <c r="X2886">
        <f t="shared" si="91"/>
        <v>6490.8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90"/>
        <v>49+ months</v>
      </c>
      <c r="X2887">
        <f t="shared" si="91"/>
        <v>7778.7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90"/>
        <v>49+ months</v>
      </c>
      <c r="X2888">
        <f t="shared" si="91"/>
        <v>6297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90"/>
        <v>0-12 months</v>
      </c>
      <c r="X2889">
        <f t="shared" si="91"/>
        <v>45.05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90"/>
        <v>0-12 months</v>
      </c>
      <c r="X2890">
        <f t="shared" si="91"/>
        <v>71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90"/>
        <v>49+ months</v>
      </c>
      <c r="X2891">
        <f t="shared" si="91"/>
        <v>2900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90"/>
        <v>37-48 months</v>
      </c>
      <c r="X2892">
        <f t="shared" si="91"/>
        <v>3315.85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90"/>
        <v>0-12 months</v>
      </c>
      <c r="X2893">
        <f t="shared" si="91"/>
        <v>79.7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90"/>
        <v>0-12 months</v>
      </c>
      <c r="X2894">
        <f t="shared" si="91"/>
        <v>20.45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90"/>
        <v>37-48 months</v>
      </c>
      <c r="X2895">
        <f t="shared" si="91"/>
        <v>1298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90"/>
        <v>37-48 months</v>
      </c>
      <c r="X2896">
        <f t="shared" si="91"/>
        <v>2896.8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90"/>
        <v>37-48 months</v>
      </c>
      <c r="X2897">
        <f t="shared" si="91"/>
        <v>734.45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90"/>
        <v>37-48 months</v>
      </c>
      <c r="X2898">
        <f t="shared" si="91"/>
        <v>259.34999999999997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90"/>
        <v>37-48 months</v>
      </c>
      <c r="X2899">
        <f t="shared" si="91"/>
        <v>1137.3499999999999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90"/>
        <v>0-12 months</v>
      </c>
      <c r="X2900">
        <f t="shared" si="91"/>
        <v>380.4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90"/>
        <v>49+ months</v>
      </c>
      <c r="X2901">
        <f t="shared" si="91"/>
        <v>3830.4500000000003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90"/>
        <v>0-12 months</v>
      </c>
      <c r="X2902">
        <f t="shared" si="91"/>
        <v>69.25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90"/>
        <v>49+ months</v>
      </c>
      <c r="X2903">
        <f t="shared" si="91"/>
        <v>6847.2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90"/>
        <v>0-12 months</v>
      </c>
      <c r="X2904">
        <f t="shared" si="91"/>
        <v>444.59999999999997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90"/>
        <v>0-12 months</v>
      </c>
      <c r="X2905">
        <f t="shared" si="91"/>
        <v>426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90"/>
        <v>37-48 months</v>
      </c>
      <c r="X2906">
        <f t="shared" si="91"/>
        <v>1773.75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90"/>
        <v>37-48 months</v>
      </c>
      <c r="X2907">
        <f t="shared" si="91"/>
        <v>1663.2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90"/>
        <v>0-12 months</v>
      </c>
      <c r="X2908">
        <f t="shared" si="91"/>
        <v>292.79999999999995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90"/>
        <v>37-48 months</v>
      </c>
      <c r="X2909">
        <f t="shared" si="91"/>
        <v>1780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90"/>
        <v>37-48 months</v>
      </c>
      <c r="X2910">
        <f t="shared" si="91"/>
        <v>1789.2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90"/>
        <v>37-48 months</v>
      </c>
      <c r="X2911">
        <f t="shared" si="91"/>
        <v>2384.35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90"/>
        <v>37-48 months</v>
      </c>
      <c r="X2912">
        <f t="shared" si="91"/>
        <v>889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90"/>
        <v>0-12 months</v>
      </c>
      <c r="X2913">
        <f t="shared" si="91"/>
        <v>73.5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90"/>
        <v>37-48 months</v>
      </c>
      <c r="X2914">
        <f t="shared" si="91"/>
        <v>2992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90"/>
        <v>49+ months</v>
      </c>
      <c r="X2915">
        <f t="shared" si="91"/>
        <v>3322.7999999999997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90"/>
        <v>37-48 months</v>
      </c>
      <c r="X2916">
        <f t="shared" si="91"/>
        <v>2075.1999999999998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90"/>
        <v>49+ months</v>
      </c>
      <c r="X2917">
        <f t="shared" si="91"/>
        <v>4593.5999999999995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90"/>
        <v>49+ months</v>
      </c>
      <c r="X2918">
        <f t="shared" si="91"/>
        <v>2266.9500000000003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90"/>
        <v>49+ months</v>
      </c>
      <c r="X2919">
        <f t="shared" si="91"/>
        <v>1356.6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90"/>
        <v>0-12 months</v>
      </c>
      <c r="X2920">
        <f t="shared" si="91"/>
        <v>346.8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90"/>
        <v>49+ months</v>
      </c>
      <c r="X2921">
        <f t="shared" si="91"/>
        <v>2432.85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90"/>
        <v>49+ months</v>
      </c>
      <c r="X2922">
        <f t="shared" si="91"/>
        <v>6127.2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90"/>
        <v>0-12 months</v>
      </c>
      <c r="X2923">
        <f t="shared" si="91"/>
        <v>859.5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90"/>
        <v>37-48 months</v>
      </c>
      <c r="X2924">
        <f t="shared" si="91"/>
        <v>2585.7999999999997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90"/>
        <v>49+ months</v>
      </c>
      <c r="X2925">
        <f t="shared" si="91"/>
        <v>4849.2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90"/>
        <v>0-12 months</v>
      </c>
      <c r="X2926">
        <f t="shared" si="91"/>
        <v>820.05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90"/>
        <v>49+ months</v>
      </c>
      <c r="X2927">
        <f t="shared" si="91"/>
        <v>5152.5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90"/>
        <v>49+ months</v>
      </c>
      <c r="X2928">
        <f t="shared" si="91"/>
        <v>8004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90"/>
        <v>0-12 months</v>
      </c>
      <c r="X2929">
        <f t="shared" si="91"/>
        <v>69.900000000000006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90"/>
        <v>49+ months</v>
      </c>
      <c r="X2930">
        <f t="shared" si="91"/>
        <v>6466.7999999999993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90"/>
        <v>37-48 months</v>
      </c>
      <c r="X2931">
        <f t="shared" si="91"/>
        <v>1610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90"/>
        <v>37-48 months</v>
      </c>
      <c r="X2932">
        <f t="shared" si="91"/>
        <v>798.25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90"/>
        <v>37-48 months</v>
      </c>
      <c r="X2933">
        <f t="shared" si="91"/>
        <v>3476.5499999999997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90"/>
        <v>49+ months</v>
      </c>
      <c r="X2934">
        <f t="shared" si="91"/>
        <v>6248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90"/>
        <v>49+ months</v>
      </c>
      <c r="X2935">
        <f t="shared" si="91"/>
        <v>1632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90"/>
        <v>0-12 months</v>
      </c>
      <c r="X2936">
        <f t="shared" si="91"/>
        <v>232.79999999999998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90"/>
        <v>49+ months</v>
      </c>
      <c r="X2937">
        <f t="shared" si="91"/>
        <v>6113.0999999999995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90"/>
        <v>37-48 months</v>
      </c>
      <c r="X2938">
        <f t="shared" si="91"/>
        <v>4106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90"/>
        <v>49+ months</v>
      </c>
      <c r="X2939">
        <f t="shared" si="91"/>
        <v>5942.4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90"/>
        <v>49+ months</v>
      </c>
      <c r="X2940">
        <f t="shared" si="91"/>
        <v>5180.75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90"/>
        <v>0-12 months</v>
      </c>
      <c r="X2941">
        <f t="shared" si="91"/>
        <v>1005.5999999999999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90"/>
        <v>49+ months</v>
      </c>
      <c r="X2942">
        <f t="shared" si="91"/>
        <v>2885.8500000000004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90"/>
        <v>49+ months</v>
      </c>
      <c r="X2943">
        <f t="shared" si="91"/>
        <v>7052.4000000000005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90"/>
        <v>37-48 months</v>
      </c>
      <c r="X2944">
        <f t="shared" si="91"/>
        <v>917.69999999999993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90"/>
        <v>37-48 months</v>
      </c>
      <c r="X2945">
        <f t="shared" si="91"/>
        <v>984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90"/>
        <v>0-12 months</v>
      </c>
      <c r="X2946">
        <f t="shared" si="91"/>
        <v>611.40000000000009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92">IF(F2947&lt;=12,"0-12 months",
IF(A2947&lt;=24,"13-24 months",
IF(A2947&lt;=36,"25-36 months",
IF(F2947&lt;=48,"37-48 months","49+ months"))))</f>
        <v>0-12 months</v>
      </c>
      <c r="X2947">
        <f t="shared" ref="X2947:X3010" si="93">S2947 * F2947</f>
        <v>680.4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92"/>
        <v>49+ months</v>
      </c>
      <c r="X2948">
        <f t="shared" si="93"/>
        <v>4118.25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92"/>
        <v>49+ months</v>
      </c>
      <c r="X2949">
        <f t="shared" si="93"/>
        <v>4429.6000000000004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92"/>
        <v>37-48 months</v>
      </c>
      <c r="X2950">
        <f t="shared" si="93"/>
        <v>4091.7999999999997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92"/>
        <v>49+ months</v>
      </c>
      <c r="X2951">
        <f t="shared" si="93"/>
        <v>3374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92"/>
        <v>0-12 months</v>
      </c>
      <c r="X2952">
        <f t="shared" si="93"/>
        <v>80.8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92"/>
        <v>37-48 months</v>
      </c>
      <c r="X2953">
        <f t="shared" si="93"/>
        <v>1283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92"/>
        <v>37-48 months</v>
      </c>
      <c r="X2954">
        <f t="shared" si="93"/>
        <v>526.5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92"/>
        <v>37-48 months</v>
      </c>
      <c r="X2955">
        <f t="shared" si="93"/>
        <v>2117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92"/>
        <v>0-12 months</v>
      </c>
      <c r="X2956">
        <f t="shared" si="93"/>
        <v>528.15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92"/>
        <v>0-12 months</v>
      </c>
      <c r="X2957">
        <f t="shared" si="93"/>
        <v>656.94999999999993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92"/>
        <v>49+ months</v>
      </c>
      <c r="X2958">
        <f t="shared" si="93"/>
        <v>5049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92"/>
        <v>0-12 months</v>
      </c>
      <c r="X2959">
        <f t="shared" si="93"/>
        <v>321.2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92"/>
        <v>0-12 months</v>
      </c>
      <c r="X2960">
        <f t="shared" si="93"/>
        <v>19.55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92"/>
        <v>37-48 months</v>
      </c>
      <c r="X2961">
        <f t="shared" si="93"/>
        <v>2720.25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92"/>
        <v>37-48 months</v>
      </c>
      <c r="X2962">
        <f t="shared" si="93"/>
        <v>2216.5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92"/>
        <v>0-12 months</v>
      </c>
      <c r="X2963">
        <f t="shared" si="93"/>
        <v>645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92"/>
        <v>0-12 months</v>
      </c>
      <c r="X2964">
        <f t="shared" si="93"/>
        <v>93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92"/>
        <v>37-48 months</v>
      </c>
      <c r="X2965">
        <f t="shared" si="93"/>
        <v>870.40000000000009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92"/>
        <v>37-48 months</v>
      </c>
      <c r="X2966">
        <f t="shared" si="93"/>
        <v>1400.4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92"/>
        <v>49+ months</v>
      </c>
      <c r="X2967">
        <f t="shared" si="93"/>
        <v>4080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92"/>
        <v>37-48 months</v>
      </c>
      <c r="X2968">
        <f t="shared" si="93"/>
        <v>648.9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92"/>
        <v>49+ months</v>
      </c>
      <c r="X2969">
        <f t="shared" si="93"/>
        <v>6711.25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92"/>
        <v>0-12 months</v>
      </c>
      <c r="X2970">
        <f t="shared" si="93"/>
        <v>271.20000000000005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92"/>
        <v>49+ months</v>
      </c>
      <c r="X2971">
        <f t="shared" si="93"/>
        <v>7104.5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92"/>
        <v>0-12 months</v>
      </c>
      <c r="X2972">
        <f t="shared" si="93"/>
        <v>351.25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92"/>
        <v>49+ months</v>
      </c>
      <c r="X2973">
        <f t="shared" si="93"/>
        <v>5327.7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92"/>
        <v>49+ months</v>
      </c>
      <c r="X2974">
        <f t="shared" si="93"/>
        <v>4698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92"/>
        <v>49+ months</v>
      </c>
      <c r="X2975">
        <f t="shared" si="93"/>
        <v>6209.3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92"/>
        <v>37-48 months</v>
      </c>
      <c r="X2976">
        <f t="shared" si="93"/>
        <v>2646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92"/>
        <v>0-12 months</v>
      </c>
      <c r="X2977">
        <f t="shared" si="93"/>
        <v>181.95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92"/>
        <v>37-48 months</v>
      </c>
      <c r="X2978">
        <f t="shared" si="93"/>
        <v>457.90000000000003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92"/>
        <v>0-12 months</v>
      </c>
      <c r="X2979">
        <f t="shared" si="93"/>
        <v>19.5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92"/>
        <v>37-48 months</v>
      </c>
      <c r="X2980">
        <f t="shared" si="93"/>
        <v>2062.8000000000002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92"/>
        <v>49+ months</v>
      </c>
      <c r="X2981">
        <f t="shared" si="93"/>
        <v>3049.5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92"/>
        <v>49+ months</v>
      </c>
      <c r="X2982">
        <f t="shared" si="93"/>
        <v>1832.3999999999999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92"/>
        <v>49+ months</v>
      </c>
      <c r="X2983">
        <f t="shared" si="93"/>
        <v>1373.5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92"/>
        <v>49+ months</v>
      </c>
      <c r="X2984">
        <f t="shared" si="93"/>
        <v>1084.2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92"/>
        <v>49+ months</v>
      </c>
      <c r="X2985">
        <f t="shared" si="93"/>
        <v>6382.9000000000005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92"/>
        <v>37-48 months</v>
      </c>
      <c r="X2986">
        <f t="shared" si="93"/>
        <v>676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92"/>
        <v>37-48 months</v>
      </c>
      <c r="X2987">
        <f t="shared" si="93"/>
        <v>3962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92"/>
        <v>49+ months</v>
      </c>
      <c r="X2988">
        <f t="shared" si="93"/>
        <v>3797.75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92"/>
        <v>37-48 months</v>
      </c>
      <c r="X2989">
        <f t="shared" si="93"/>
        <v>663.30000000000007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92"/>
        <v>49+ months</v>
      </c>
      <c r="X2990">
        <f t="shared" si="93"/>
        <v>7894.8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92"/>
        <v>0-12 months</v>
      </c>
      <c r="X2991">
        <f t="shared" si="93"/>
        <v>19.2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92"/>
        <v>0-12 months</v>
      </c>
      <c r="X2992">
        <f t="shared" si="93"/>
        <v>339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92"/>
        <v>37-48 months</v>
      </c>
      <c r="X2993">
        <f t="shared" si="93"/>
        <v>3330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92"/>
        <v>0-12 months</v>
      </c>
      <c r="X2994">
        <f t="shared" si="93"/>
        <v>408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92"/>
        <v>0-12 months</v>
      </c>
      <c r="X2995">
        <f t="shared" si="93"/>
        <v>20.399999999999999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92"/>
        <v>49+ months</v>
      </c>
      <c r="X2996">
        <f t="shared" si="93"/>
        <v>2393.2000000000003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92"/>
        <v>0-12 months</v>
      </c>
      <c r="X2997">
        <f t="shared" si="93"/>
        <v>25.25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92"/>
        <v>37-48 months</v>
      </c>
      <c r="X2998">
        <f t="shared" si="93"/>
        <v>1090.8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92"/>
        <v>49+ months</v>
      </c>
      <c r="X2999">
        <f t="shared" si="93"/>
        <v>6206.55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92"/>
        <v>0-12 months</v>
      </c>
      <c r="X3000">
        <f t="shared" si="93"/>
        <v>149.5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92"/>
        <v>37-48 months</v>
      </c>
      <c r="X3001">
        <f t="shared" si="93"/>
        <v>391.40000000000003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92"/>
        <v>0-12 months</v>
      </c>
      <c r="X3002">
        <f t="shared" si="93"/>
        <v>1013.4000000000001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92"/>
        <v>0-12 months</v>
      </c>
      <c r="X3003">
        <f t="shared" si="93"/>
        <v>183.6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92"/>
        <v>37-48 months</v>
      </c>
      <c r="X3004">
        <f t="shared" si="93"/>
        <v>2205.9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92"/>
        <v>37-48 months</v>
      </c>
      <c r="X3005">
        <f t="shared" si="93"/>
        <v>2146.5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92"/>
        <v>0-12 months</v>
      </c>
      <c r="X3006">
        <f t="shared" si="93"/>
        <v>89.15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92"/>
        <v>37-48 months</v>
      </c>
      <c r="X3007">
        <f t="shared" si="93"/>
        <v>487.20000000000005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92"/>
        <v>37-48 months</v>
      </c>
      <c r="X3008">
        <f t="shared" si="93"/>
        <v>1049.3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92"/>
        <v>37-48 months</v>
      </c>
      <c r="X3009">
        <f t="shared" si="93"/>
        <v>2380.8000000000002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92"/>
        <v>0-12 months</v>
      </c>
      <c r="X3010">
        <f t="shared" si="93"/>
        <v>220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94">IF(F3011&lt;=12,"0-12 months",
IF(A3011&lt;=24,"13-24 months",
IF(A3011&lt;=36,"25-36 months",
IF(F3011&lt;=48,"37-48 months","49+ months"))))</f>
        <v>0-12 months</v>
      </c>
      <c r="X3011">
        <f t="shared" ref="X3011:X3074" si="95">S3011 * F3011</f>
        <v>25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94"/>
        <v>37-48 months</v>
      </c>
      <c r="X3012">
        <f t="shared" si="95"/>
        <v>3057.1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94"/>
        <v>0-12 months</v>
      </c>
      <c r="X3013">
        <f t="shared" si="95"/>
        <v>177.75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94"/>
        <v>49+ months</v>
      </c>
      <c r="X3014">
        <f t="shared" si="95"/>
        <v>3545.1000000000004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94"/>
        <v>37-48 months</v>
      </c>
      <c r="X3015">
        <f t="shared" si="95"/>
        <v>2059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94"/>
        <v>37-48 months</v>
      </c>
      <c r="X3016">
        <f t="shared" si="95"/>
        <v>3924.8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94"/>
        <v>49+ months</v>
      </c>
      <c r="X3017">
        <f t="shared" si="95"/>
        <v>5118.25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94"/>
        <v>0-12 months</v>
      </c>
      <c r="X3018">
        <f t="shared" si="95"/>
        <v>165.89999999999998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94"/>
        <v>37-48 months</v>
      </c>
      <c r="X3019">
        <f t="shared" si="95"/>
        <v>1107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94"/>
        <v>49+ months</v>
      </c>
      <c r="X3020">
        <f t="shared" si="95"/>
        <v>1681.7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94"/>
        <v>37-48 months</v>
      </c>
      <c r="X3021">
        <f t="shared" si="95"/>
        <v>1213.3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94"/>
        <v>37-48 months</v>
      </c>
      <c r="X3022">
        <f t="shared" si="95"/>
        <v>1123.6499999999999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94"/>
        <v>0-12 months</v>
      </c>
      <c r="X3023">
        <f t="shared" si="95"/>
        <v>99.75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94"/>
        <v>0-12 months</v>
      </c>
      <c r="X3024">
        <f t="shared" si="95"/>
        <v>39.9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94"/>
        <v>49+ months</v>
      </c>
      <c r="X3025">
        <f t="shared" si="95"/>
        <v>6458.4000000000005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94"/>
        <v>0-12 months</v>
      </c>
      <c r="X3026">
        <f t="shared" si="95"/>
        <v>183.6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94"/>
        <v>49+ months</v>
      </c>
      <c r="X3027">
        <f t="shared" si="95"/>
        <v>1762.1000000000001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94"/>
        <v>37-48 months</v>
      </c>
      <c r="X3028">
        <f t="shared" si="95"/>
        <v>1359.2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94"/>
        <v>0-12 months</v>
      </c>
      <c r="X3029">
        <f t="shared" si="95"/>
        <v>165.6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94"/>
        <v>0-12 months</v>
      </c>
      <c r="X3030">
        <f t="shared" si="95"/>
        <v>216.25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94"/>
        <v>37-48 months</v>
      </c>
      <c r="X3031">
        <f t="shared" si="95"/>
        <v>1112.05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94"/>
        <v>0-12 months</v>
      </c>
      <c r="X3032">
        <f t="shared" si="95"/>
        <v>79.55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94"/>
        <v>49+ months</v>
      </c>
      <c r="X3033">
        <f t="shared" si="95"/>
        <v>3552.5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94"/>
        <v>37-48 months</v>
      </c>
      <c r="X3034">
        <f t="shared" si="95"/>
        <v>330.65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94"/>
        <v>49+ months</v>
      </c>
      <c r="X3035">
        <f t="shared" si="95"/>
        <v>7534.4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94"/>
        <v>0-12 months</v>
      </c>
      <c r="X3036">
        <f t="shared" si="95"/>
        <v>84.5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94"/>
        <v>37-48 months</v>
      </c>
      <c r="X3037">
        <f t="shared" si="95"/>
        <v>1732.5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94"/>
        <v>49+ months</v>
      </c>
      <c r="X3038">
        <f t="shared" si="95"/>
        <v>3306.4500000000003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94"/>
        <v>37-48 months</v>
      </c>
      <c r="X3039">
        <f t="shared" si="95"/>
        <v>651.20000000000005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94"/>
        <v>49+ months</v>
      </c>
      <c r="X3040">
        <f t="shared" si="95"/>
        <v>7075.2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94"/>
        <v>49+ months</v>
      </c>
      <c r="X3041">
        <f t="shared" si="95"/>
        <v>4640.4000000000005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94"/>
        <v>49+ months</v>
      </c>
      <c r="X3042">
        <f t="shared" si="95"/>
        <v>7710.5999999999995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94"/>
        <v>0-12 months</v>
      </c>
      <c r="X3043">
        <f t="shared" si="95"/>
        <v>49.9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94"/>
        <v>37-48 months</v>
      </c>
      <c r="X3044">
        <f t="shared" si="95"/>
        <v>1393.8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94"/>
        <v>0-12 months</v>
      </c>
      <c r="X3045">
        <f t="shared" si="95"/>
        <v>60.8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94"/>
        <v>0-12 months</v>
      </c>
      <c r="X3046">
        <f t="shared" si="95"/>
        <v>45.4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94"/>
        <v>37-48 months</v>
      </c>
      <c r="X3047">
        <f t="shared" si="95"/>
        <v>3151.2000000000003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94"/>
        <v>49+ months</v>
      </c>
      <c r="X3048">
        <f t="shared" si="95"/>
        <v>6301.3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94"/>
        <v>37-48 months</v>
      </c>
      <c r="X3049">
        <f t="shared" si="95"/>
        <v>2692.8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94"/>
        <v>0-12 months</v>
      </c>
      <c r="X3050">
        <f t="shared" si="95"/>
        <v>88.9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94"/>
        <v>0-12 months</v>
      </c>
      <c r="X3051">
        <f t="shared" si="95"/>
        <v>59.25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94"/>
        <v>0-12 months</v>
      </c>
      <c r="X3052">
        <f t="shared" si="95"/>
        <v>427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94"/>
        <v>49+ months</v>
      </c>
      <c r="X3053">
        <f t="shared" si="95"/>
        <v>6382.9000000000005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94"/>
        <v>37-48 months</v>
      </c>
      <c r="X3054">
        <f t="shared" si="95"/>
        <v>2036.85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94"/>
        <v>49+ months</v>
      </c>
      <c r="X3055">
        <f t="shared" si="95"/>
        <v>6766.5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94"/>
        <v>49+ months</v>
      </c>
      <c r="X3056">
        <f t="shared" si="95"/>
        <v>7142.2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94"/>
        <v>49+ months</v>
      </c>
      <c r="X3057">
        <f t="shared" si="95"/>
        <v>3684.8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94"/>
        <v>49+ months</v>
      </c>
      <c r="X3058">
        <f t="shared" si="95"/>
        <v>3525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94"/>
        <v>37-48 months</v>
      </c>
      <c r="X3059">
        <f t="shared" si="95"/>
        <v>490.00000000000006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94"/>
        <v>37-48 months</v>
      </c>
      <c r="X3060">
        <f t="shared" si="95"/>
        <v>949.45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94"/>
        <v>49+ months</v>
      </c>
      <c r="X3061">
        <f t="shared" si="95"/>
        <v>1539.2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94"/>
        <v>37-48 months</v>
      </c>
      <c r="X3062">
        <f t="shared" si="95"/>
        <v>952.5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94"/>
        <v>37-48 months</v>
      </c>
      <c r="X3063">
        <f t="shared" si="95"/>
        <v>2447.2000000000003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94"/>
        <v>37-48 months</v>
      </c>
      <c r="X3064">
        <f t="shared" si="95"/>
        <v>822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94"/>
        <v>37-48 months</v>
      </c>
      <c r="X3065">
        <f t="shared" si="95"/>
        <v>3701.85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94"/>
        <v>37-48 months</v>
      </c>
      <c r="X3066">
        <f t="shared" si="95"/>
        <v>1441.65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94"/>
        <v>0-12 months</v>
      </c>
      <c r="X3067">
        <f t="shared" si="95"/>
        <v>45.8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94"/>
        <v>0-12 months</v>
      </c>
      <c r="X3068">
        <f t="shared" si="95"/>
        <v>757.5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94"/>
        <v>0-12 months</v>
      </c>
      <c r="X3069">
        <f t="shared" si="95"/>
        <v>506.40000000000003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94"/>
        <v>49+ months</v>
      </c>
      <c r="X3070">
        <f t="shared" si="95"/>
        <v>4916.4000000000005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94"/>
        <v>0-12 months</v>
      </c>
      <c r="X3071">
        <f t="shared" si="95"/>
        <v>205.5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94"/>
        <v>0-12 months</v>
      </c>
      <c r="X3072">
        <f t="shared" si="95"/>
        <v>305.70000000000005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94"/>
        <v>37-48 months</v>
      </c>
      <c r="X3073">
        <f t="shared" si="95"/>
        <v>4253.5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94"/>
        <v>49+ months</v>
      </c>
      <c r="X3074">
        <f t="shared" si="95"/>
        <v>4843.4000000000005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96">IF(F3075&lt;=12,"0-12 months",
IF(A3075&lt;=24,"13-24 months",
IF(A3075&lt;=36,"25-36 months",
IF(F3075&lt;=48,"37-48 months","49+ months"))))</f>
        <v>49+ months</v>
      </c>
      <c r="X3075">
        <f t="shared" ref="X3075:X3138" si="97">S3075 * F3075</f>
        <v>3055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96"/>
        <v>37-48 months</v>
      </c>
      <c r="X3076">
        <f t="shared" si="97"/>
        <v>2080.75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96"/>
        <v>49+ months</v>
      </c>
      <c r="X3077">
        <f t="shared" si="97"/>
        <v>7504.7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96"/>
        <v>0-12 months</v>
      </c>
      <c r="X3078">
        <f t="shared" si="97"/>
        <v>337.5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96"/>
        <v>37-48 months</v>
      </c>
      <c r="X3079">
        <f t="shared" si="97"/>
        <v>2398.5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96"/>
        <v>0-12 months</v>
      </c>
      <c r="X3080">
        <f t="shared" si="97"/>
        <v>171.1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96"/>
        <v>0-12 months</v>
      </c>
      <c r="X3081">
        <f t="shared" si="97"/>
        <v>274.60000000000002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96"/>
        <v>0-12 months</v>
      </c>
      <c r="X3082">
        <f t="shared" si="97"/>
        <v>48.6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96"/>
        <v>0-12 months</v>
      </c>
      <c r="X3083">
        <f t="shared" si="97"/>
        <v>311.39999999999998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96"/>
        <v>49+ months</v>
      </c>
      <c r="X3084">
        <f t="shared" si="97"/>
        <v>3054.9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96"/>
        <v>49+ months</v>
      </c>
      <c r="X3085">
        <f t="shared" si="97"/>
        <v>1437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96"/>
        <v>0-12 months</v>
      </c>
      <c r="X3086">
        <f t="shared" si="97"/>
        <v>181.35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96"/>
        <v>0-12 months</v>
      </c>
      <c r="X3087">
        <f t="shared" si="97"/>
        <v>316.04999999999995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96"/>
        <v>37-48 months</v>
      </c>
      <c r="X3088">
        <f t="shared" si="97"/>
        <v>1626.0500000000002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96"/>
        <v>0-12 months</v>
      </c>
      <c r="X3089">
        <f t="shared" si="97"/>
        <v>696.4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96"/>
        <v>37-48 months</v>
      </c>
      <c r="X3090">
        <f t="shared" si="97"/>
        <v>3726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96"/>
        <v>49+ months</v>
      </c>
      <c r="X3091">
        <f t="shared" si="97"/>
        <v>5606.6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96"/>
        <v>0-12 months</v>
      </c>
      <c r="X3092">
        <f t="shared" si="97"/>
        <v>53.5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96"/>
        <v>0-12 months</v>
      </c>
      <c r="X3093">
        <f t="shared" si="97"/>
        <v>82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96"/>
        <v>0-12 months</v>
      </c>
      <c r="X3094">
        <f t="shared" si="97"/>
        <v>25.1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96"/>
        <v>37-48 months</v>
      </c>
      <c r="X3095">
        <f t="shared" si="97"/>
        <v>1523.2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96"/>
        <v>37-48 months</v>
      </c>
      <c r="X3096">
        <f t="shared" si="97"/>
        <v>2285.4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96"/>
        <v>0-12 months</v>
      </c>
      <c r="X3097">
        <f t="shared" si="97"/>
        <v>932.8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96"/>
        <v>49+ months</v>
      </c>
      <c r="X3098">
        <f t="shared" si="97"/>
        <v>4359.3999999999996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96"/>
        <v>0-12 months</v>
      </c>
      <c r="X3099">
        <f t="shared" si="97"/>
        <v>40.799999999999997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96"/>
        <v>37-48 months</v>
      </c>
      <c r="X3100">
        <f t="shared" si="97"/>
        <v>2389.5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96"/>
        <v>37-48 months</v>
      </c>
      <c r="X3101">
        <f t="shared" si="97"/>
        <v>342.54999999999995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96"/>
        <v>49+ months</v>
      </c>
      <c r="X3102">
        <f t="shared" si="97"/>
        <v>5194.75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96"/>
        <v>49+ months</v>
      </c>
      <c r="X3103">
        <f t="shared" si="97"/>
        <v>4628.3999999999996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96"/>
        <v>0-12 months</v>
      </c>
      <c r="X3104">
        <f t="shared" si="97"/>
        <v>271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96"/>
        <v>0-12 months</v>
      </c>
      <c r="X3105">
        <f t="shared" si="97"/>
        <v>19.45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96"/>
        <v>0-12 months</v>
      </c>
      <c r="X3106">
        <f t="shared" si="97"/>
        <v>666.44999999999993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96"/>
        <v>37-48 months</v>
      </c>
      <c r="X3107">
        <f t="shared" si="97"/>
        <v>1277.8999999999999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96"/>
        <v>49+ months</v>
      </c>
      <c r="X3108">
        <f t="shared" si="97"/>
        <v>969.99999999999989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96"/>
        <v>49+ months</v>
      </c>
      <c r="X3109">
        <f t="shared" si="97"/>
        <v>8182.8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96"/>
        <v>37-48 months</v>
      </c>
      <c r="X3110">
        <f t="shared" si="97"/>
        <v>4558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96"/>
        <v>49+ months</v>
      </c>
      <c r="X3111">
        <f t="shared" si="97"/>
        <v>1453.2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96"/>
        <v>0-12 months</v>
      </c>
      <c r="X3112">
        <f t="shared" si="97"/>
        <v>19.100000000000001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96"/>
        <v>49+ months</v>
      </c>
      <c r="X3113">
        <f t="shared" si="97"/>
        <v>7444.8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96"/>
        <v>49+ months</v>
      </c>
      <c r="X3114">
        <f t="shared" si="97"/>
        <v>7239.5999999999995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96"/>
        <v>37-48 months</v>
      </c>
      <c r="X3115">
        <f t="shared" si="97"/>
        <v>3434.4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96"/>
        <v>0-12 months</v>
      </c>
      <c r="X3116">
        <f t="shared" si="97"/>
        <v>375.75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96"/>
        <v>37-48 months</v>
      </c>
      <c r="X3117">
        <f t="shared" si="97"/>
        <v>1097.8500000000001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96"/>
        <v>37-48 months</v>
      </c>
      <c r="X3118">
        <f t="shared" si="97"/>
        <v>3922.6000000000004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96"/>
        <v>49+ months</v>
      </c>
      <c r="X3119">
        <f t="shared" si="97"/>
        <v>7553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96"/>
        <v>37-48 months</v>
      </c>
      <c r="X3120">
        <f t="shared" si="97"/>
        <v>858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96"/>
        <v>37-48 months</v>
      </c>
      <c r="X3121">
        <f t="shared" si="97"/>
        <v>2750.4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96"/>
        <v>49+ months</v>
      </c>
      <c r="X3122">
        <f t="shared" si="97"/>
        <v>1721.55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96"/>
        <v>37-48 months</v>
      </c>
      <c r="X3123">
        <f t="shared" si="97"/>
        <v>950.4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96"/>
        <v>49+ months</v>
      </c>
      <c r="X3124">
        <f t="shared" si="97"/>
        <v>1326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96"/>
        <v>37-48 months</v>
      </c>
      <c r="X3125">
        <f t="shared" si="97"/>
        <v>1119.2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96"/>
        <v>49+ months</v>
      </c>
      <c r="X3126">
        <f t="shared" si="97"/>
        <v>5633.7999999999993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96"/>
        <v>0-12 months</v>
      </c>
      <c r="X3127">
        <f t="shared" si="97"/>
        <v>76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96"/>
        <v>37-48 months</v>
      </c>
      <c r="X3128">
        <f t="shared" si="97"/>
        <v>1010.1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96"/>
        <v>37-48 months</v>
      </c>
      <c r="X3129">
        <f t="shared" si="97"/>
        <v>887.40000000000009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96"/>
        <v>0-12 months</v>
      </c>
      <c r="X3130">
        <f t="shared" si="97"/>
        <v>101.75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96"/>
        <v>49+ months</v>
      </c>
      <c r="X3131">
        <f t="shared" si="97"/>
        <v>6650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96"/>
        <v>37-48 months</v>
      </c>
      <c r="X3132">
        <f t="shared" si="97"/>
        <v>1785.6000000000001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96"/>
        <v>49+ months</v>
      </c>
      <c r="X3133">
        <f t="shared" si="97"/>
        <v>5648.4000000000005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96"/>
        <v>0-12 months</v>
      </c>
      <c r="X3134">
        <f t="shared" si="97"/>
        <v>74.3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96"/>
        <v>49+ months</v>
      </c>
      <c r="X3135">
        <f t="shared" si="97"/>
        <v>3573.5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96"/>
        <v>37-48 months</v>
      </c>
      <c r="X3136">
        <f t="shared" si="97"/>
        <v>691.19999999999993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96"/>
        <v>37-48 months</v>
      </c>
      <c r="X3137">
        <f t="shared" si="97"/>
        <v>3782.9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96"/>
        <v>37-48 months</v>
      </c>
      <c r="X3138">
        <f t="shared" si="97"/>
        <v>1190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98">IF(F3139&lt;=12,"0-12 months",
IF(A3139&lt;=24,"13-24 months",
IF(A3139&lt;=36,"25-36 months",
IF(F3139&lt;=48,"37-48 months","49+ months"))))</f>
        <v>37-48 months</v>
      </c>
      <c r="X3139">
        <f t="shared" ref="X3139:X3202" si="99">S3139 * F3139</f>
        <v>4473.0999999999995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98"/>
        <v>0-12 months</v>
      </c>
      <c r="X3140">
        <f t="shared" si="99"/>
        <v>45.3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98"/>
        <v>0-12 months</v>
      </c>
      <c r="X3141">
        <f t="shared" si="99"/>
        <v>59.7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98"/>
        <v>37-48 months</v>
      </c>
      <c r="X3142">
        <f t="shared" si="99"/>
        <v>1070.3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98"/>
        <v>0-12 months</v>
      </c>
      <c r="X3143">
        <f t="shared" si="99"/>
        <v>190.2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98"/>
        <v>0-12 months</v>
      </c>
      <c r="X3144">
        <f t="shared" si="99"/>
        <v>19.8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98"/>
        <v>37-48 months</v>
      </c>
      <c r="X3145">
        <f t="shared" si="99"/>
        <v>946.4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98"/>
        <v>0-12 months</v>
      </c>
      <c r="X3146">
        <f t="shared" si="99"/>
        <v>113.69999999999999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98"/>
        <v>0-12 months</v>
      </c>
      <c r="X3147">
        <f t="shared" si="99"/>
        <v>306.60000000000002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98"/>
        <v>0-12 months</v>
      </c>
      <c r="X3148">
        <f t="shared" si="99"/>
        <v>495.75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98"/>
        <v>37-48 months</v>
      </c>
      <c r="X3149">
        <f t="shared" si="99"/>
        <v>1526.25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98"/>
        <v>37-48 months</v>
      </c>
      <c r="X3150">
        <f t="shared" si="99"/>
        <v>3546.15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98"/>
        <v>0-12 months</v>
      </c>
      <c r="X3151">
        <f t="shared" si="99"/>
        <v>512.79999999999995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98"/>
        <v>37-48 months</v>
      </c>
      <c r="X3152">
        <f t="shared" si="99"/>
        <v>436.04999999999995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98"/>
        <v>37-48 months</v>
      </c>
      <c r="X3153">
        <f t="shared" si="99"/>
        <v>1126.5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98"/>
        <v>37-48 months</v>
      </c>
      <c r="X3154">
        <f t="shared" si="99"/>
        <v>2492.1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98"/>
        <v>37-48 months</v>
      </c>
      <c r="X3155">
        <f t="shared" si="99"/>
        <v>1251.2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98"/>
        <v>0-12 months</v>
      </c>
      <c r="X3156">
        <f t="shared" si="99"/>
        <v>291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98"/>
        <v>37-48 months</v>
      </c>
      <c r="X3157">
        <f t="shared" si="99"/>
        <v>575.65000000000009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98"/>
        <v>37-48 months</v>
      </c>
      <c r="X3158">
        <f t="shared" si="99"/>
        <v>476.25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98"/>
        <v>0-12 months</v>
      </c>
      <c r="X3159">
        <f t="shared" si="99"/>
        <v>404.55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98"/>
        <v>37-48 months</v>
      </c>
      <c r="X3160">
        <f t="shared" si="99"/>
        <v>891.9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98"/>
        <v>0-12 months</v>
      </c>
      <c r="X3161">
        <f t="shared" si="99"/>
        <v>284.54999999999995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98"/>
        <v>49+ months</v>
      </c>
      <c r="X3162">
        <f t="shared" si="99"/>
        <v>3191.25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98"/>
        <v>37-48 months</v>
      </c>
      <c r="X3163">
        <f t="shared" si="99"/>
        <v>270.90000000000003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98"/>
        <v>37-48 months</v>
      </c>
      <c r="X3164">
        <f t="shared" si="99"/>
        <v>1322.3999999999999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98"/>
        <v>37-48 months</v>
      </c>
      <c r="X3165">
        <f t="shared" si="99"/>
        <v>3537.3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98"/>
        <v>37-48 months</v>
      </c>
      <c r="X3166">
        <f t="shared" si="99"/>
        <v>3143.4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98"/>
        <v>37-48 months</v>
      </c>
      <c r="X3167">
        <f t="shared" si="99"/>
        <v>486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98"/>
        <v>37-48 months</v>
      </c>
      <c r="X3168">
        <f t="shared" si="99"/>
        <v>683.19999999999993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98"/>
        <v>49+ months</v>
      </c>
      <c r="X3169">
        <f t="shared" si="99"/>
        <v>4758.3999999999996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98"/>
        <v>49+ months</v>
      </c>
      <c r="X3170">
        <f t="shared" si="99"/>
        <v>967.50000000000011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98"/>
        <v>49+ months</v>
      </c>
      <c r="X3171">
        <f t="shared" si="99"/>
        <v>3575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98"/>
        <v>37-48 months</v>
      </c>
      <c r="X3172">
        <f t="shared" si="99"/>
        <v>2805.6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98"/>
        <v>37-48 months</v>
      </c>
      <c r="X3173">
        <f t="shared" si="99"/>
        <v>437.85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98"/>
        <v>37-48 months</v>
      </c>
      <c r="X3174">
        <f t="shared" si="99"/>
        <v>2397.5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98"/>
        <v>37-48 months</v>
      </c>
      <c r="X3175">
        <f t="shared" si="99"/>
        <v>328.95000000000005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98"/>
        <v>49+ months</v>
      </c>
      <c r="X3176">
        <f t="shared" si="99"/>
        <v>2610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98"/>
        <v>37-48 months</v>
      </c>
      <c r="X3177">
        <f t="shared" si="99"/>
        <v>1385.5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98"/>
        <v>49+ months</v>
      </c>
      <c r="X3178">
        <f t="shared" si="99"/>
        <v>1300.5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98"/>
        <v>49+ months</v>
      </c>
      <c r="X3179">
        <f t="shared" si="99"/>
        <v>3520.7999999999997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98"/>
        <v>49+ months</v>
      </c>
      <c r="X3180">
        <f t="shared" si="99"/>
        <v>4373.2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98"/>
        <v>37-48 months</v>
      </c>
      <c r="X3181">
        <f t="shared" si="99"/>
        <v>529.20000000000005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98"/>
        <v>0-12 months</v>
      </c>
      <c r="X3182">
        <f t="shared" si="99"/>
        <v>60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98"/>
        <v>49+ months</v>
      </c>
      <c r="X3183">
        <f t="shared" si="99"/>
        <v>5203.2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98"/>
        <v>37-48 months</v>
      </c>
      <c r="X3184">
        <f t="shared" si="99"/>
        <v>4284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98"/>
        <v>0-12 months</v>
      </c>
      <c r="X3185">
        <f t="shared" si="99"/>
        <v>109.35000000000001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98"/>
        <v>49+ months</v>
      </c>
      <c r="X3186">
        <f t="shared" si="99"/>
        <v>5914.3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98"/>
        <v>0-12 months</v>
      </c>
      <c r="X3187">
        <f t="shared" si="99"/>
        <v>25.05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98"/>
        <v>49+ months</v>
      </c>
      <c r="X3188">
        <f t="shared" si="99"/>
        <v>1177.4000000000001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98"/>
        <v>37-48 months</v>
      </c>
      <c r="X3189">
        <f t="shared" si="99"/>
        <v>3054.8999999999996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98"/>
        <v>0-12 months</v>
      </c>
      <c r="X3190">
        <f t="shared" si="99"/>
        <v>398.8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98"/>
        <v>37-48 months</v>
      </c>
      <c r="X3191">
        <f t="shared" si="99"/>
        <v>297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98"/>
        <v>49+ months</v>
      </c>
      <c r="X3192">
        <f t="shared" si="99"/>
        <v>3606.9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98"/>
        <v>0-12 months</v>
      </c>
      <c r="X3193">
        <f t="shared" si="99"/>
        <v>352.20000000000005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98"/>
        <v>49+ months</v>
      </c>
      <c r="X3194">
        <f t="shared" si="99"/>
        <v>1110.6999999999998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98"/>
        <v>0-12 months</v>
      </c>
      <c r="X3195">
        <f t="shared" si="99"/>
        <v>57.300000000000004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98"/>
        <v>37-48 months</v>
      </c>
      <c r="X3196">
        <f t="shared" si="99"/>
        <v>2388.65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98"/>
        <v>0-12 months</v>
      </c>
      <c r="X3197">
        <f t="shared" si="99"/>
        <v>724.94999999999993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98"/>
        <v>0-12 months</v>
      </c>
      <c r="X3198">
        <f t="shared" si="99"/>
        <v>60.75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98"/>
        <v>37-48 months</v>
      </c>
      <c r="X3199">
        <f t="shared" si="99"/>
        <v>1529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98"/>
        <v>37-48 months</v>
      </c>
      <c r="X3200">
        <f t="shared" si="99"/>
        <v>4240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98"/>
        <v>49+ months</v>
      </c>
      <c r="X3201">
        <f t="shared" si="99"/>
        <v>1734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98"/>
        <v>49+ months</v>
      </c>
      <c r="X3202">
        <f t="shared" si="99"/>
        <v>5632.2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100">IF(F3203&lt;=12,"0-12 months",
IF(A3203&lt;=24,"13-24 months",
IF(A3203&lt;=36,"25-36 months",
IF(F3203&lt;=48,"37-48 months","49+ months"))))</f>
        <v>49+ months</v>
      </c>
      <c r="X3203">
        <f t="shared" ref="X3203:X3266" si="101">S3203 * F3203</f>
        <v>3979.9999999999995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00"/>
        <v>0-12 months</v>
      </c>
      <c r="X3204">
        <f t="shared" si="101"/>
        <v>55.25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00"/>
        <v>49+ months</v>
      </c>
      <c r="X3205">
        <f t="shared" si="101"/>
        <v>6339.5999999999995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00"/>
        <v>37-48 months</v>
      </c>
      <c r="X3206">
        <f t="shared" si="101"/>
        <v>816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00"/>
        <v>49+ months</v>
      </c>
      <c r="X3207">
        <f t="shared" si="101"/>
        <v>8467.1999999999989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00"/>
        <v>0-12 months</v>
      </c>
      <c r="X3208">
        <f t="shared" si="101"/>
        <v>120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00"/>
        <v>0-12 months</v>
      </c>
      <c r="X3209">
        <f t="shared" si="101"/>
        <v>98.25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00"/>
        <v>37-48 months</v>
      </c>
      <c r="X3210">
        <f t="shared" si="101"/>
        <v>3386.3999999999996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00"/>
        <v>0-12 months</v>
      </c>
      <c r="X3211">
        <f t="shared" si="101"/>
        <v>93.85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00"/>
        <v>49+ months</v>
      </c>
      <c r="X3212">
        <f t="shared" si="101"/>
        <v>4211.2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00"/>
        <v>37-48 months</v>
      </c>
      <c r="X3213">
        <f t="shared" si="101"/>
        <v>340.85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00"/>
        <v>37-48 months</v>
      </c>
      <c r="X3214">
        <f t="shared" si="101"/>
        <v>3200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00"/>
        <v>37-48 months</v>
      </c>
      <c r="X3215">
        <f t="shared" si="101"/>
        <v>1451.3999999999999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00"/>
        <v>49+ months</v>
      </c>
      <c r="X3216">
        <f t="shared" si="101"/>
        <v>4059.6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00"/>
        <v>37-48 months</v>
      </c>
      <c r="X3217">
        <f t="shared" si="101"/>
        <v>3290.25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00"/>
        <v>0-12 months</v>
      </c>
      <c r="X3218">
        <f t="shared" si="101"/>
        <v>50.45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00"/>
        <v>0-12 months</v>
      </c>
      <c r="X3219">
        <f t="shared" si="101"/>
        <v>40.9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00"/>
        <v>49+ months</v>
      </c>
      <c r="X3220">
        <f t="shared" si="101"/>
        <v>5412.7999999999993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00"/>
        <v>37-48 months</v>
      </c>
      <c r="X3221">
        <f t="shared" si="101"/>
        <v>592.79999999999995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00"/>
        <v>49+ months</v>
      </c>
      <c r="X3222">
        <f t="shared" si="101"/>
        <v>5411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00"/>
        <v>0-12 months</v>
      </c>
      <c r="X3223">
        <f t="shared" si="101"/>
        <v>89.25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00"/>
        <v>0-12 months</v>
      </c>
      <c r="X3224">
        <f t="shared" si="101"/>
        <v>89.8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00"/>
        <v>0-12 months</v>
      </c>
      <c r="X3225">
        <f t="shared" si="101"/>
        <v>89.4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00"/>
        <v>0-12 months</v>
      </c>
      <c r="X3226">
        <f t="shared" si="101"/>
        <v>522.55000000000007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00"/>
        <v>37-48 months</v>
      </c>
      <c r="X3227">
        <f t="shared" si="101"/>
        <v>935.35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00"/>
        <v>0-12 months</v>
      </c>
      <c r="X3228">
        <f t="shared" si="101"/>
        <v>145.25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00"/>
        <v>0-12 months</v>
      </c>
      <c r="X3229">
        <f t="shared" si="101"/>
        <v>675.59999999999991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00"/>
        <v>49+ months</v>
      </c>
      <c r="X3230">
        <f t="shared" si="101"/>
        <v>5578.25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00"/>
        <v>0-12 months</v>
      </c>
      <c r="X3231">
        <f t="shared" si="101"/>
        <v>1130.4000000000001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00"/>
        <v>49+ months</v>
      </c>
      <c r="X3232">
        <f t="shared" si="101"/>
        <v>1231.6500000000001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00"/>
        <v>37-48 months</v>
      </c>
      <c r="X3233">
        <f t="shared" si="101"/>
        <v>1266.75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00"/>
        <v>37-48 months</v>
      </c>
      <c r="X3234">
        <f t="shared" si="101"/>
        <v>1931.3999999999999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00"/>
        <v>0-12 months</v>
      </c>
      <c r="X3235">
        <f t="shared" si="101"/>
        <v>119.6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00"/>
        <v>37-48 months</v>
      </c>
      <c r="X3236">
        <f t="shared" si="101"/>
        <v>472.79999999999995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00"/>
        <v>49+ months</v>
      </c>
      <c r="X3237">
        <f t="shared" si="101"/>
        <v>2665.7000000000003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00"/>
        <v>37-48 months</v>
      </c>
      <c r="X3238">
        <f t="shared" si="101"/>
        <v>884.8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00"/>
        <v>49+ months</v>
      </c>
      <c r="X3239">
        <f t="shared" si="101"/>
        <v>1290.25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00"/>
        <v>37-48 months</v>
      </c>
      <c r="X3240">
        <f t="shared" si="101"/>
        <v>510.9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00"/>
        <v>37-48 months</v>
      </c>
      <c r="X3241">
        <f t="shared" si="101"/>
        <v>791.2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00"/>
        <v>49+ months</v>
      </c>
      <c r="X3242">
        <f t="shared" si="101"/>
        <v>5753.7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00"/>
        <v>0-12 months</v>
      </c>
      <c r="X3243">
        <f t="shared" si="101"/>
        <v>20.100000000000001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00"/>
        <v>0-12 months</v>
      </c>
      <c r="X3244">
        <f t="shared" si="101"/>
        <v>102.25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00"/>
        <v>37-48 months</v>
      </c>
      <c r="X3245">
        <f t="shared" si="101"/>
        <v>754.30000000000007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00"/>
        <v>0-12 months</v>
      </c>
      <c r="X3246">
        <f t="shared" si="101"/>
        <v>545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00"/>
        <v>37-48 months</v>
      </c>
      <c r="X3247">
        <f t="shared" si="101"/>
        <v>1927.3999999999999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00"/>
        <v>0-12 months</v>
      </c>
      <c r="X3248">
        <f t="shared" si="101"/>
        <v>165.45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00"/>
        <v>49+ months</v>
      </c>
      <c r="X3249">
        <f t="shared" si="101"/>
        <v>8035.2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00"/>
        <v>0-12 months</v>
      </c>
      <c r="X3250">
        <f t="shared" si="101"/>
        <v>866.5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00"/>
        <v>0-12 months</v>
      </c>
      <c r="X3251">
        <f t="shared" si="101"/>
        <v>555.5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00"/>
        <v>0-12 months</v>
      </c>
      <c r="X3252">
        <f t="shared" si="101"/>
        <v>226.05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00"/>
        <v>37-48 months</v>
      </c>
      <c r="X3253">
        <f t="shared" si="101"/>
        <v>3949.75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00"/>
        <v>37-48 months</v>
      </c>
      <c r="X3254">
        <f t="shared" si="101"/>
        <v>1055.7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00"/>
        <v>37-48 months</v>
      </c>
      <c r="X3255">
        <f t="shared" si="101"/>
        <v>3762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00"/>
        <v>37-48 months</v>
      </c>
      <c r="X3256">
        <f t="shared" si="101"/>
        <v>1730.6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00"/>
        <v>49+ months</v>
      </c>
      <c r="X3257">
        <f t="shared" si="101"/>
        <v>7299.5999999999995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00"/>
        <v>49+ months</v>
      </c>
      <c r="X3258">
        <f t="shared" si="101"/>
        <v>5178.9000000000005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00"/>
        <v>37-48 months</v>
      </c>
      <c r="X3259">
        <f t="shared" si="101"/>
        <v>2050.4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00"/>
        <v>0-12 months</v>
      </c>
      <c r="X3260">
        <f t="shared" si="101"/>
        <v>24.4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00"/>
        <v>0-12 months</v>
      </c>
      <c r="X3261">
        <f t="shared" si="101"/>
        <v>423.29999999999995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00"/>
        <v>37-48 months</v>
      </c>
      <c r="X3262">
        <f t="shared" si="101"/>
        <v>2431.9500000000003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00"/>
        <v>49+ months</v>
      </c>
      <c r="X3263">
        <f t="shared" si="101"/>
        <v>5780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00"/>
        <v>37-48 months</v>
      </c>
      <c r="X3264">
        <f t="shared" si="101"/>
        <v>2973.3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00"/>
        <v>49+ months</v>
      </c>
      <c r="X3265">
        <f t="shared" si="101"/>
        <v>4461.5999999999995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100"/>
        <v>0-12 months</v>
      </c>
      <c r="X3266">
        <f t="shared" si="101"/>
        <v>911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102">IF(F3267&lt;=12,"0-12 months",
IF(A3267&lt;=24,"13-24 months",
IF(A3267&lt;=36,"25-36 months",
IF(F3267&lt;=48,"37-48 months","49+ months"))))</f>
        <v>37-48 months</v>
      </c>
      <c r="X3267">
        <f t="shared" ref="X3267:X3330" si="103">S3267 * F3267</f>
        <v>2051.75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02"/>
        <v>49+ months</v>
      </c>
      <c r="X3268">
        <f t="shared" si="103"/>
        <v>1447.2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02"/>
        <v>37-48 months</v>
      </c>
      <c r="X3269">
        <f t="shared" si="103"/>
        <v>942.35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02"/>
        <v>37-48 months</v>
      </c>
      <c r="X3270">
        <f t="shared" si="103"/>
        <v>1795.1999999999998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02"/>
        <v>49+ months</v>
      </c>
      <c r="X3271">
        <f t="shared" si="103"/>
        <v>1612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02"/>
        <v>0-12 months</v>
      </c>
      <c r="X3272">
        <f t="shared" si="103"/>
        <v>403.4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02"/>
        <v>0-12 months</v>
      </c>
      <c r="X3273">
        <f t="shared" si="103"/>
        <v>1216.1999999999998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02"/>
        <v>0-12 months</v>
      </c>
      <c r="X3274">
        <f t="shared" si="103"/>
        <v>81.7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02"/>
        <v>37-48 months</v>
      </c>
      <c r="X3275">
        <f t="shared" si="103"/>
        <v>2252.25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02"/>
        <v>37-48 months</v>
      </c>
      <c r="X3276">
        <f t="shared" si="103"/>
        <v>3573.3999999999996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02"/>
        <v>37-48 months</v>
      </c>
      <c r="X3277">
        <f t="shared" si="103"/>
        <v>285.59999999999997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02"/>
        <v>0-12 months</v>
      </c>
      <c r="X3278">
        <f t="shared" si="103"/>
        <v>316.60000000000002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02"/>
        <v>37-48 months</v>
      </c>
      <c r="X3279">
        <f t="shared" si="103"/>
        <v>260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02"/>
        <v>49+ months</v>
      </c>
      <c r="X3280">
        <f t="shared" si="103"/>
        <v>5161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02"/>
        <v>37-48 months</v>
      </c>
      <c r="X3281">
        <f t="shared" si="103"/>
        <v>1315.6000000000001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02"/>
        <v>49+ months</v>
      </c>
      <c r="X3282">
        <f t="shared" si="103"/>
        <v>3223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02"/>
        <v>49+ months</v>
      </c>
      <c r="X3283">
        <f t="shared" si="103"/>
        <v>4645.2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02"/>
        <v>49+ months</v>
      </c>
      <c r="X3284">
        <f t="shared" si="103"/>
        <v>6150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02"/>
        <v>49+ months</v>
      </c>
      <c r="X3285">
        <f t="shared" si="103"/>
        <v>1404.15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02"/>
        <v>37-48 months</v>
      </c>
      <c r="X3286">
        <f t="shared" si="103"/>
        <v>3396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02"/>
        <v>49+ months</v>
      </c>
      <c r="X3287">
        <f t="shared" si="103"/>
        <v>4636.4000000000005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02"/>
        <v>37-48 months</v>
      </c>
      <c r="X3288">
        <f t="shared" si="103"/>
        <v>3340.75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02"/>
        <v>37-48 months</v>
      </c>
      <c r="X3289">
        <f t="shared" si="103"/>
        <v>1918.05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02"/>
        <v>37-48 months</v>
      </c>
      <c r="X3290">
        <f t="shared" si="103"/>
        <v>271.05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02"/>
        <v>37-48 months</v>
      </c>
      <c r="X3291">
        <f t="shared" si="103"/>
        <v>3628.5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02"/>
        <v>0-12 months</v>
      </c>
      <c r="X3292">
        <f t="shared" si="103"/>
        <v>140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02"/>
        <v>37-48 months</v>
      </c>
      <c r="X3293">
        <f t="shared" si="103"/>
        <v>1323.6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02"/>
        <v>0-12 months</v>
      </c>
      <c r="X3294">
        <f t="shared" si="103"/>
        <v>254.75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02"/>
        <v>0-12 months</v>
      </c>
      <c r="X3295">
        <f t="shared" si="103"/>
        <v>320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02"/>
        <v>0-12 months</v>
      </c>
      <c r="X3296">
        <f t="shared" si="103"/>
        <v>69.099999999999994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02"/>
        <v>49+ months</v>
      </c>
      <c r="X3297">
        <f t="shared" si="103"/>
        <v>5774.4000000000005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02"/>
        <v>37-48 months</v>
      </c>
      <c r="X3298">
        <f t="shared" si="103"/>
        <v>1183.1999999999998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02"/>
        <v>37-48 months</v>
      </c>
      <c r="X3299">
        <f t="shared" si="103"/>
        <v>3542.7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02"/>
        <v>0-12 months</v>
      </c>
      <c r="X3300">
        <f t="shared" si="103"/>
        <v>80.2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02"/>
        <v>49+ months</v>
      </c>
      <c r="X3301">
        <f t="shared" si="103"/>
        <v>7969.6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02"/>
        <v>37-48 months</v>
      </c>
      <c r="X3302">
        <f t="shared" si="103"/>
        <v>663.30000000000007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02"/>
        <v>0-12 months</v>
      </c>
      <c r="X3303">
        <f t="shared" si="103"/>
        <v>69.599999999999994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02"/>
        <v>37-48 months</v>
      </c>
      <c r="X3304">
        <f t="shared" si="103"/>
        <v>3206.9500000000003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02"/>
        <v>0-12 months</v>
      </c>
      <c r="X3305">
        <f t="shared" si="103"/>
        <v>311.8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02"/>
        <v>49+ months</v>
      </c>
      <c r="X3306">
        <f t="shared" si="103"/>
        <v>7586.55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02"/>
        <v>37-48 months</v>
      </c>
      <c r="X3307">
        <f t="shared" si="103"/>
        <v>3600.5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02"/>
        <v>0-12 months</v>
      </c>
      <c r="X3308">
        <f t="shared" si="103"/>
        <v>240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02"/>
        <v>37-48 months</v>
      </c>
      <c r="X3309">
        <f t="shared" si="103"/>
        <v>3823.2000000000003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02"/>
        <v>37-48 months</v>
      </c>
      <c r="X3310">
        <f t="shared" si="103"/>
        <v>378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02"/>
        <v>37-48 months</v>
      </c>
      <c r="X3311">
        <f t="shared" si="103"/>
        <v>497.49999999999994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02"/>
        <v>0-12 months</v>
      </c>
      <c r="X3312">
        <f t="shared" si="103"/>
        <v>78.45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02"/>
        <v>37-48 months</v>
      </c>
      <c r="X3313">
        <f t="shared" si="103"/>
        <v>2150.3999999999996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02"/>
        <v>0-12 months</v>
      </c>
      <c r="X3314">
        <f t="shared" si="103"/>
        <v>20.3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02"/>
        <v>0-12 months</v>
      </c>
      <c r="X3315">
        <f t="shared" si="103"/>
        <v>19.2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02"/>
        <v>37-48 months</v>
      </c>
      <c r="X3316">
        <f t="shared" si="103"/>
        <v>2961.85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02"/>
        <v>49+ months</v>
      </c>
      <c r="X3317">
        <f t="shared" si="103"/>
        <v>7085.0999999999995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02"/>
        <v>37-48 months</v>
      </c>
      <c r="X3318">
        <f t="shared" si="103"/>
        <v>1244.1000000000001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02"/>
        <v>49+ months</v>
      </c>
      <c r="X3319">
        <f t="shared" si="103"/>
        <v>4460.3999999999996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02"/>
        <v>0-12 months</v>
      </c>
      <c r="X3320">
        <f t="shared" si="103"/>
        <v>295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02"/>
        <v>0-12 months</v>
      </c>
      <c r="X3321">
        <f t="shared" si="103"/>
        <v>141.5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02"/>
        <v>37-48 months</v>
      </c>
      <c r="X3322">
        <f t="shared" si="103"/>
        <v>1063.8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02"/>
        <v>49+ months</v>
      </c>
      <c r="X3323">
        <f t="shared" si="103"/>
        <v>1635.2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02"/>
        <v>0-12 months</v>
      </c>
      <c r="X3324">
        <f t="shared" si="103"/>
        <v>760.05000000000007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02"/>
        <v>37-48 months</v>
      </c>
      <c r="X3325">
        <f t="shared" si="103"/>
        <v>567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02"/>
        <v>0-12 months</v>
      </c>
      <c r="X3326">
        <f t="shared" si="103"/>
        <v>75.55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02"/>
        <v>0-12 months</v>
      </c>
      <c r="X3327">
        <f t="shared" si="103"/>
        <v>342.6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02"/>
        <v>37-48 months</v>
      </c>
      <c r="X3328">
        <f t="shared" si="103"/>
        <v>2665.7000000000003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02"/>
        <v>49+ months</v>
      </c>
      <c r="X3329">
        <f t="shared" si="103"/>
        <v>6289.8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102"/>
        <v>0-12 months</v>
      </c>
      <c r="X3330">
        <f t="shared" si="103"/>
        <v>70.25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104">IF(F3331&lt;=12,"0-12 months",
IF(A3331&lt;=24,"13-24 months",
IF(A3331&lt;=36,"25-36 months",
IF(F3331&lt;=48,"37-48 months","49+ months"))))</f>
        <v>37-48 months</v>
      </c>
      <c r="X3331">
        <f t="shared" ref="X3331:X3394" si="105">S3331 * F3331</f>
        <v>905.4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04"/>
        <v>49+ months</v>
      </c>
      <c r="X3332">
        <f t="shared" si="105"/>
        <v>4987.8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104"/>
        <v>0-12 months</v>
      </c>
      <c r="X3333">
        <f t="shared" si="105"/>
        <v>0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04"/>
        <v>0-12 months</v>
      </c>
      <c r="X3334">
        <f t="shared" si="105"/>
        <v>46.3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04"/>
        <v>0-12 months</v>
      </c>
      <c r="X3335">
        <f t="shared" si="105"/>
        <v>232.20000000000002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04"/>
        <v>37-48 months</v>
      </c>
      <c r="X3336">
        <f t="shared" si="105"/>
        <v>4358.3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04"/>
        <v>0-12 months</v>
      </c>
      <c r="X3337">
        <f t="shared" si="105"/>
        <v>300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04"/>
        <v>49+ months</v>
      </c>
      <c r="X3338">
        <f t="shared" si="105"/>
        <v>1116.5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04"/>
        <v>0-12 months</v>
      </c>
      <c r="X3339">
        <f t="shared" si="105"/>
        <v>527.44999999999993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04"/>
        <v>0-12 months</v>
      </c>
      <c r="X3340">
        <f t="shared" si="105"/>
        <v>1072.8000000000002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04"/>
        <v>49+ months</v>
      </c>
      <c r="X3341">
        <f t="shared" si="105"/>
        <v>5984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04"/>
        <v>0-12 months</v>
      </c>
      <c r="X3342">
        <f t="shared" si="105"/>
        <v>415.75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04"/>
        <v>49+ months</v>
      </c>
      <c r="X3343">
        <f t="shared" si="105"/>
        <v>2146.1999999999998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04"/>
        <v>37-48 months</v>
      </c>
      <c r="X3344">
        <f t="shared" si="105"/>
        <v>2482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04"/>
        <v>37-48 months</v>
      </c>
      <c r="X3345">
        <f t="shared" si="105"/>
        <v>321.60000000000002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04"/>
        <v>0-12 months</v>
      </c>
      <c r="X3346">
        <f t="shared" si="105"/>
        <v>741.5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04"/>
        <v>49+ months</v>
      </c>
      <c r="X3347">
        <f t="shared" si="105"/>
        <v>7297.2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04"/>
        <v>0-12 months</v>
      </c>
      <c r="X3348">
        <f t="shared" si="105"/>
        <v>168.1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04"/>
        <v>37-48 months</v>
      </c>
      <c r="X3349">
        <f t="shared" si="105"/>
        <v>480.7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04"/>
        <v>49+ months</v>
      </c>
      <c r="X3350">
        <f t="shared" si="105"/>
        <v>7518.9000000000005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04"/>
        <v>0-12 months</v>
      </c>
      <c r="X3351">
        <f t="shared" si="105"/>
        <v>1094.5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04"/>
        <v>0-12 months</v>
      </c>
      <c r="X3352">
        <f t="shared" si="105"/>
        <v>44.15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04"/>
        <v>37-48 months</v>
      </c>
      <c r="X3353">
        <f t="shared" si="105"/>
        <v>862.4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04"/>
        <v>0-12 months</v>
      </c>
      <c r="X3354">
        <f t="shared" si="105"/>
        <v>85.45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04"/>
        <v>0-12 months</v>
      </c>
      <c r="X3355">
        <f t="shared" si="105"/>
        <v>1020.5999999999999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04"/>
        <v>49+ months</v>
      </c>
      <c r="X3356">
        <f t="shared" si="105"/>
        <v>2381.4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04"/>
        <v>49+ months</v>
      </c>
      <c r="X3357">
        <f t="shared" si="105"/>
        <v>6133.6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04"/>
        <v>0-12 months</v>
      </c>
      <c r="X3358">
        <f t="shared" si="105"/>
        <v>203.4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04"/>
        <v>0-12 months</v>
      </c>
      <c r="X3359">
        <f t="shared" si="105"/>
        <v>59.2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04"/>
        <v>37-48 months</v>
      </c>
      <c r="X3360">
        <f t="shared" si="105"/>
        <v>1443.15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04"/>
        <v>37-48 months</v>
      </c>
      <c r="X3361">
        <f t="shared" si="105"/>
        <v>418.95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04"/>
        <v>37-48 months</v>
      </c>
      <c r="X3362">
        <f t="shared" si="105"/>
        <v>1081.6000000000001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04"/>
        <v>49+ months</v>
      </c>
      <c r="X3363">
        <f t="shared" si="105"/>
        <v>4777.6000000000004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04"/>
        <v>0-12 months</v>
      </c>
      <c r="X3364">
        <f t="shared" si="105"/>
        <v>54.9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04"/>
        <v>49+ months</v>
      </c>
      <c r="X3365">
        <f t="shared" si="105"/>
        <v>3277.5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04"/>
        <v>37-48 months</v>
      </c>
      <c r="X3366">
        <f t="shared" si="105"/>
        <v>2181.9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04"/>
        <v>37-48 months</v>
      </c>
      <c r="X3367">
        <f t="shared" si="105"/>
        <v>373.34999999999997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04"/>
        <v>37-48 months</v>
      </c>
      <c r="X3368">
        <f t="shared" si="105"/>
        <v>2907.7999999999997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04"/>
        <v>49+ months</v>
      </c>
      <c r="X3369">
        <f t="shared" si="105"/>
        <v>4641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04"/>
        <v>37-48 months</v>
      </c>
      <c r="X3370">
        <f t="shared" si="105"/>
        <v>4330.9000000000005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04"/>
        <v>0-12 months</v>
      </c>
      <c r="X3371">
        <f t="shared" si="105"/>
        <v>611.6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04"/>
        <v>49+ months</v>
      </c>
      <c r="X3372">
        <f t="shared" si="105"/>
        <v>2581.1000000000004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04"/>
        <v>0-12 months</v>
      </c>
      <c r="X3373">
        <f t="shared" si="105"/>
        <v>211.75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04"/>
        <v>49+ months</v>
      </c>
      <c r="X3374">
        <f t="shared" si="105"/>
        <v>5979.3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04"/>
        <v>0-12 months</v>
      </c>
      <c r="X3375">
        <f t="shared" si="105"/>
        <v>150.9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04"/>
        <v>0-12 months</v>
      </c>
      <c r="X3376">
        <f t="shared" si="105"/>
        <v>109.7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04"/>
        <v>49+ months</v>
      </c>
      <c r="X3377">
        <f t="shared" si="105"/>
        <v>1412.8999999999999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04"/>
        <v>0-12 months</v>
      </c>
      <c r="X3378">
        <f t="shared" si="105"/>
        <v>19.399999999999999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04"/>
        <v>49+ months</v>
      </c>
      <c r="X3379">
        <f t="shared" si="105"/>
        <v>1703.4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04"/>
        <v>49+ months</v>
      </c>
      <c r="X3380">
        <f t="shared" si="105"/>
        <v>6080.4000000000005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04"/>
        <v>0-12 months</v>
      </c>
      <c r="X3381">
        <f t="shared" si="105"/>
        <v>38.6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04"/>
        <v>0-12 months</v>
      </c>
      <c r="X3382">
        <f t="shared" si="105"/>
        <v>95.1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04"/>
        <v>37-48 months</v>
      </c>
      <c r="X3383">
        <f t="shared" si="105"/>
        <v>3273.85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04"/>
        <v>49+ months</v>
      </c>
      <c r="X3384">
        <f t="shared" si="105"/>
        <v>1839.6000000000001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04"/>
        <v>0-12 months</v>
      </c>
      <c r="X3385">
        <f t="shared" si="105"/>
        <v>453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04"/>
        <v>0-12 months</v>
      </c>
      <c r="X3386">
        <f t="shared" si="105"/>
        <v>295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04"/>
        <v>0-12 months</v>
      </c>
      <c r="X3387">
        <f t="shared" si="105"/>
        <v>1152.5999999999999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04"/>
        <v>49+ months</v>
      </c>
      <c r="X3388">
        <f t="shared" si="105"/>
        <v>3967.2000000000003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04"/>
        <v>0-12 months</v>
      </c>
      <c r="X3389">
        <f t="shared" si="105"/>
        <v>144.54999999999998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04"/>
        <v>49+ months</v>
      </c>
      <c r="X3390">
        <f t="shared" si="105"/>
        <v>3584.75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04"/>
        <v>0-12 months</v>
      </c>
      <c r="X3391">
        <f t="shared" si="105"/>
        <v>70.599999999999994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04"/>
        <v>49+ months</v>
      </c>
      <c r="X3392">
        <f t="shared" si="105"/>
        <v>1117.2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04"/>
        <v>0-12 months</v>
      </c>
      <c r="X3393">
        <f t="shared" si="105"/>
        <v>76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104"/>
        <v>49+ months</v>
      </c>
      <c r="X3394">
        <f t="shared" si="105"/>
        <v>2557.8000000000002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106">IF(F3395&lt;=12,"0-12 months",
IF(A3395&lt;=24,"13-24 months",
IF(A3395&lt;=36,"25-36 months",
IF(F3395&lt;=48,"37-48 months","49+ months"))))</f>
        <v>49+ months</v>
      </c>
      <c r="X3395">
        <f t="shared" ref="X3395:X3458" si="107">S3395 * F3395</f>
        <v>6671.2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06"/>
        <v>37-48 months</v>
      </c>
      <c r="X3396">
        <f t="shared" si="107"/>
        <v>1600.3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06"/>
        <v>49+ months</v>
      </c>
      <c r="X3397">
        <f t="shared" si="107"/>
        <v>5623.4000000000005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06"/>
        <v>49+ months</v>
      </c>
      <c r="X3398">
        <f t="shared" si="107"/>
        <v>5756.5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06"/>
        <v>49+ months</v>
      </c>
      <c r="X3399">
        <f t="shared" si="107"/>
        <v>6235.6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06"/>
        <v>49+ months</v>
      </c>
      <c r="X3400">
        <f t="shared" si="107"/>
        <v>6142.7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06"/>
        <v>37-48 months</v>
      </c>
      <c r="X3401">
        <f t="shared" si="107"/>
        <v>3294.9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06"/>
        <v>37-48 months</v>
      </c>
      <c r="X3402">
        <f t="shared" si="107"/>
        <v>1517.3999999999999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06"/>
        <v>49+ months</v>
      </c>
      <c r="X3403">
        <f t="shared" si="107"/>
        <v>1094.8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06"/>
        <v>0-12 months</v>
      </c>
      <c r="X3404">
        <f t="shared" si="107"/>
        <v>355.8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06"/>
        <v>0-12 months</v>
      </c>
      <c r="X3405">
        <f t="shared" si="107"/>
        <v>81.8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06"/>
        <v>37-48 months</v>
      </c>
      <c r="X3406">
        <f t="shared" si="107"/>
        <v>1946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06"/>
        <v>49+ months</v>
      </c>
      <c r="X3407">
        <f t="shared" si="107"/>
        <v>5555.2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06"/>
        <v>37-48 months</v>
      </c>
      <c r="X3408">
        <f t="shared" si="107"/>
        <v>649.44999999999993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06"/>
        <v>49+ months</v>
      </c>
      <c r="X3409">
        <f t="shared" si="107"/>
        <v>1343.3500000000001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06"/>
        <v>0-12 months</v>
      </c>
      <c r="X3410">
        <f t="shared" si="107"/>
        <v>202.8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06"/>
        <v>49+ months</v>
      </c>
      <c r="X3411">
        <f t="shared" si="107"/>
        <v>7955.5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06"/>
        <v>0-12 months</v>
      </c>
      <c r="X3412">
        <f t="shared" si="107"/>
        <v>160.19999999999999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06"/>
        <v>49+ months</v>
      </c>
      <c r="X3413">
        <f t="shared" si="107"/>
        <v>5400.7000000000007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06"/>
        <v>0-12 months</v>
      </c>
      <c r="X3414">
        <f t="shared" si="107"/>
        <v>119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06"/>
        <v>37-48 months</v>
      </c>
      <c r="X3415">
        <f t="shared" si="107"/>
        <v>2546.1999999999998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06"/>
        <v>37-48 months</v>
      </c>
      <c r="X3416">
        <f t="shared" si="107"/>
        <v>1969.3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06"/>
        <v>49+ months</v>
      </c>
      <c r="X3417">
        <f t="shared" si="107"/>
        <v>5644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06"/>
        <v>0-12 months</v>
      </c>
      <c r="X3418">
        <f t="shared" si="107"/>
        <v>838.19999999999993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06"/>
        <v>0-12 months</v>
      </c>
      <c r="X3419">
        <f t="shared" si="107"/>
        <v>450.4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06"/>
        <v>49+ months</v>
      </c>
      <c r="X3420">
        <f t="shared" si="107"/>
        <v>5915.7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06"/>
        <v>49+ months</v>
      </c>
      <c r="X3421">
        <f t="shared" si="107"/>
        <v>6358.35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06"/>
        <v>37-48 months</v>
      </c>
      <c r="X3422">
        <f t="shared" si="107"/>
        <v>1807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06"/>
        <v>49+ months</v>
      </c>
      <c r="X3423">
        <f t="shared" si="107"/>
        <v>6984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06"/>
        <v>49+ months</v>
      </c>
      <c r="X3424">
        <f t="shared" si="107"/>
        <v>4084.5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06"/>
        <v>0-12 months</v>
      </c>
      <c r="X3425">
        <f t="shared" si="107"/>
        <v>50.6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06"/>
        <v>0-12 months</v>
      </c>
      <c r="X3426">
        <f t="shared" si="107"/>
        <v>895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06"/>
        <v>37-48 months</v>
      </c>
      <c r="X3427">
        <f t="shared" si="107"/>
        <v>1971.2000000000003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06"/>
        <v>0-12 months</v>
      </c>
      <c r="X3428">
        <f t="shared" si="107"/>
        <v>69.8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06"/>
        <v>37-48 months</v>
      </c>
      <c r="X3429">
        <f t="shared" si="107"/>
        <v>1980.3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06"/>
        <v>49+ months</v>
      </c>
      <c r="X3430">
        <f t="shared" si="107"/>
        <v>4783.8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06"/>
        <v>49+ months</v>
      </c>
      <c r="X3431">
        <f t="shared" si="107"/>
        <v>1036.1500000000001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06"/>
        <v>49+ months</v>
      </c>
      <c r="X3432">
        <f t="shared" si="107"/>
        <v>5085.3500000000004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06"/>
        <v>37-48 months</v>
      </c>
      <c r="X3433">
        <f t="shared" si="107"/>
        <v>2425.1999999999998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06"/>
        <v>49+ months</v>
      </c>
      <c r="X3434">
        <f t="shared" si="107"/>
        <v>6636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06"/>
        <v>49+ months</v>
      </c>
      <c r="X3435">
        <f t="shared" si="107"/>
        <v>6572.75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06"/>
        <v>0-12 months</v>
      </c>
      <c r="X3436">
        <f t="shared" si="107"/>
        <v>600.6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06"/>
        <v>0-12 months</v>
      </c>
      <c r="X3437">
        <f t="shared" si="107"/>
        <v>142.6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06"/>
        <v>37-48 months</v>
      </c>
      <c r="X3438">
        <f t="shared" si="107"/>
        <v>487.5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06"/>
        <v>37-48 months</v>
      </c>
      <c r="X3439">
        <f t="shared" si="107"/>
        <v>2308.2999999999997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06"/>
        <v>37-48 months</v>
      </c>
      <c r="X3440">
        <f t="shared" si="107"/>
        <v>1704.6000000000001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06"/>
        <v>49+ months</v>
      </c>
      <c r="X3441">
        <f t="shared" si="107"/>
        <v>7498.8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06"/>
        <v>49+ months</v>
      </c>
      <c r="X3442">
        <f t="shared" si="107"/>
        <v>6429.05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06"/>
        <v>37-48 months</v>
      </c>
      <c r="X3443">
        <f t="shared" si="107"/>
        <v>2067.1999999999998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06"/>
        <v>37-48 months</v>
      </c>
      <c r="X3444">
        <f t="shared" si="107"/>
        <v>2865.2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06"/>
        <v>37-48 months</v>
      </c>
      <c r="X3445">
        <f t="shared" si="107"/>
        <v>3926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06"/>
        <v>37-48 months</v>
      </c>
      <c r="X3446">
        <f t="shared" si="107"/>
        <v>1272.6000000000001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06"/>
        <v>37-48 months</v>
      </c>
      <c r="X3447">
        <f t="shared" si="107"/>
        <v>4744.9000000000005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06"/>
        <v>49+ months</v>
      </c>
      <c r="X3448">
        <f t="shared" si="107"/>
        <v>6249.5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06"/>
        <v>37-48 months</v>
      </c>
      <c r="X3449">
        <f t="shared" si="107"/>
        <v>3174.6000000000004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06"/>
        <v>0-12 months</v>
      </c>
      <c r="X3450">
        <f t="shared" si="107"/>
        <v>245.8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06"/>
        <v>49+ months</v>
      </c>
      <c r="X3451">
        <f t="shared" si="107"/>
        <v>4976.4000000000005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06"/>
        <v>49+ months</v>
      </c>
      <c r="X3452">
        <f t="shared" si="107"/>
        <v>7336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06"/>
        <v>49+ months</v>
      </c>
      <c r="X3453">
        <f t="shared" si="107"/>
        <v>4611.75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06"/>
        <v>0-12 months</v>
      </c>
      <c r="X3454">
        <f t="shared" si="107"/>
        <v>44.95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06"/>
        <v>49+ months</v>
      </c>
      <c r="X3455">
        <f t="shared" si="107"/>
        <v>6835.5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06"/>
        <v>37-48 months</v>
      </c>
      <c r="X3456">
        <f t="shared" si="107"/>
        <v>1033.8499999999999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06"/>
        <v>0-12 months</v>
      </c>
      <c r="X3457">
        <f t="shared" si="107"/>
        <v>90.55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106"/>
        <v>49+ months</v>
      </c>
      <c r="X3458">
        <f t="shared" si="107"/>
        <v>5711.75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108">IF(F3459&lt;=12,"0-12 months",
IF(A3459&lt;=24,"13-24 months",
IF(A3459&lt;=36,"25-36 months",
IF(F3459&lt;=48,"37-48 months","49+ months"))))</f>
        <v>0-12 months</v>
      </c>
      <c r="X3459">
        <f t="shared" ref="X3459:X3522" si="109">S3459 * F3459</f>
        <v>19.5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08"/>
        <v>37-48 months</v>
      </c>
      <c r="X3460">
        <f t="shared" si="109"/>
        <v>2308.7999999999997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08"/>
        <v>37-48 months</v>
      </c>
      <c r="X3461">
        <f t="shared" si="109"/>
        <v>753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08"/>
        <v>37-48 months</v>
      </c>
      <c r="X3462">
        <f t="shared" si="109"/>
        <v>4802.3999999999996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08"/>
        <v>49+ months</v>
      </c>
      <c r="X3463">
        <f t="shared" si="109"/>
        <v>3063.5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08"/>
        <v>0-12 months</v>
      </c>
      <c r="X3464">
        <f t="shared" si="109"/>
        <v>596.4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08"/>
        <v>37-48 months</v>
      </c>
      <c r="X3465">
        <f t="shared" si="109"/>
        <v>3372.55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08"/>
        <v>37-48 months</v>
      </c>
      <c r="X3466">
        <f t="shared" si="109"/>
        <v>2599.35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08"/>
        <v>0-12 months</v>
      </c>
      <c r="X3467">
        <f t="shared" si="109"/>
        <v>183.6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08"/>
        <v>49+ months</v>
      </c>
      <c r="X3468">
        <f t="shared" si="109"/>
        <v>1807.2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08"/>
        <v>0-12 months</v>
      </c>
      <c r="X3469">
        <f t="shared" si="109"/>
        <v>457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08"/>
        <v>0-12 months</v>
      </c>
      <c r="X3470">
        <f t="shared" si="109"/>
        <v>19.7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08"/>
        <v>37-48 months</v>
      </c>
      <c r="X3471">
        <f t="shared" si="109"/>
        <v>1372.5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08"/>
        <v>0-12 months</v>
      </c>
      <c r="X3472">
        <f t="shared" si="109"/>
        <v>410.4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08"/>
        <v>37-48 months</v>
      </c>
      <c r="X3473">
        <f t="shared" si="109"/>
        <v>738.5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08"/>
        <v>49+ months</v>
      </c>
      <c r="X3474">
        <f t="shared" si="109"/>
        <v>5866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08"/>
        <v>37-48 months</v>
      </c>
      <c r="X3475">
        <f t="shared" si="109"/>
        <v>4458.3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08"/>
        <v>49+ months</v>
      </c>
      <c r="X3476">
        <f t="shared" si="109"/>
        <v>5573.75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08"/>
        <v>0-12 months</v>
      </c>
      <c r="X3477">
        <f t="shared" si="109"/>
        <v>40.6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08"/>
        <v>49+ months</v>
      </c>
      <c r="X3478">
        <f t="shared" si="109"/>
        <v>6548.75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08"/>
        <v>37-48 months</v>
      </c>
      <c r="X3479">
        <f t="shared" si="109"/>
        <v>1334.7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08"/>
        <v>37-48 months</v>
      </c>
      <c r="X3480">
        <f t="shared" si="109"/>
        <v>1806.6499999999999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08"/>
        <v>0-12 months</v>
      </c>
      <c r="X3481">
        <f t="shared" si="109"/>
        <v>181.2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08"/>
        <v>49+ months</v>
      </c>
      <c r="X3482">
        <f t="shared" si="109"/>
        <v>1389.5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08"/>
        <v>0-12 months</v>
      </c>
      <c r="X3483">
        <f t="shared" si="109"/>
        <v>202.8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08"/>
        <v>37-48 months</v>
      </c>
      <c r="X3484">
        <f t="shared" si="109"/>
        <v>855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08"/>
        <v>37-48 months</v>
      </c>
      <c r="X3485">
        <f t="shared" si="109"/>
        <v>1400.3999999999999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08"/>
        <v>37-48 months</v>
      </c>
      <c r="X3486">
        <f t="shared" si="109"/>
        <v>3171.1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08"/>
        <v>0-12 months</v>
      </c>
      <c r="X3487">
        <f t="shared" si="109"/>
        <v>146.5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08"/>
        <v>37-48 months</v>
      </c>
      <c r="X3488">
        <f t="shared" si="109"/>
        <v>4455.5999999999995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08"/>
        <v>49+ months</v>
      </c>
      <c r="X3489">
        <f t="shared" si="109"/>
        <v>1045.2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08"/>
        <v>0-12 months</v>
      </c>
      <c r="X3490">
        <f t="shared" si="109"/>
        <v>539.1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08"/>
        <v>37-48 months</v>
      </c>
      <c r="X3491">
        <f t="shared" si="109"/>
        <v>2342.6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08"/>
        <v>0-12 months</v>
      </c>
      <c r="X3492">
        <f t="shared" si="109"/>
        <v>408.4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08"/>
        <v>37-48 months</v>
      </c>
      <c r="X3493">
        <f t="shared" si="109"/>
        <v>3121.8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08"/>
        <v>0-12 months</v>
      </c>
      <c r="X3494">
        <f t="shared" si="109"/>
        <v>87.6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08"/>
        <v>0-12 months</v>
      </c>
      <c r="X3495">
        <f t="shared" si="109"/>
        <v>93.2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08"/>
        <v>0-12 months</v>
      </c>
      <c r="X3496">
        <f t="shared" si="109"/>
        <v>768.15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08"/>
        <v>0-12 months</v>
      </c>
      <c r="X3497">
        <f t="shared" si="109"/>
        <v>75.349999999999994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08"/>
        <v>37-48 months</v>
      </c>
      <c r="X3498">
        <f t="shared" si="109"/>
        <v>1857.5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08"/>
        <v>0-12 months</v>
      </c>
      <c r="X3499">
        <f t="shared" si="109"/>
        <v>138.6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08"/>
        <v>37-48 months</v>
      </c>
      <c r="X3500">
        <f t="shared" si="109"/>
        <v>3233.6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08"/>
        <v>0-12 months</v>
      </c>
      <c r="X3501">
        <f t="shared" si="109"/>
        <v>20.9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08"/>
        <v>49+ months</v>
      </c>
      <c r="X3502">
        <f t="shared" si="109"/>
        <v>5469.4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08"/>
        <v>49+ months</v>
      </c>
      <c r="X3503">
        <f t="shared" si="109"/>
        <v>4510.55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08"/>
        <v>37-48 months</v>
      </c>
      <c r="X3504">
        <f t="shared" si="109"/>
        <v>2376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08"/>
        <v>49+ months</v>
      </c>
      <c r="X3505">
        <f t="shared" si="109"/>
        <v>6880.5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08"/>
        <v>49+ months</v>
      </c>
      <c r="X3506">
        <f t="shared" si="109"/>
        <v>1356.6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08"/>
        <v>0-12 months</v>
      </c>
      <c r="X3507">
        <f t="shared" si="109"/>
        <v>224.54999999999998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08"/>
        <v>37-48 months</v>
      </c>
      <c r="X3508">
        <f t="shared" si="109"/>
        <v>1610.25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08"/>
        <v>0-12 months</v>
      </c>
      <c r="X3509">
        <f t="shared" si="109"/>
        <v>79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08"/>
        <v>49+ months</v>
      </c>
      <c r="X3510">
        <f t="shared" si="109"/>
        <v>7955.5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08"/>
        <v>0-12 months</v>
      </c>
      <c r="X3511">
        <f t="shared" si="109"/>
        <v>44.9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08"/>
        <v>0-12 months</v>
      </c>
      <c r="X3512">
        <f t="shared" si="109"/>
        <v>602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08"/>
        <v>49+ months</v>
      </c>
      <c r="X3513">
        <f t="shared" si="109"/>
        <v>1303.8000000000002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08"/>
        <v>49+ months</v>
      </c>
      <c r="X3514">
        <f t="shared" si="109"/>
        <v>1275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08"/>
        <v>0-12 months</v>
      </c>
      <c r="X3515">
        <f t="shared" si="109"/>
        <v>230.45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08"/>
        <v>49+ months</v>
      </c>
      <c r="X3516">
        <f t="shared" si="109"/>
        <v>6636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08"/>
        <v>37-48 months</v>
      </c>
      <c r="X3517">
        <f t="shared" si="109"/>
        <v>943.5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08"/>
        <v>0-12 months</v>
      </c>
      <c r="X3518">
        <f t="shared" si="109"/>
        <v>129.89999999999998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08"/>
        <v>49+ months</v>
      </c>
      <c r="X3519">
        <f t="shared" si="109"/>
        <v>7665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08"/>
        <v>0-12 months</v>
      </c>
      <c r="X3520">
        <f t="shared" si="109"/>
        <v>19.45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08"/>
        <v>37-48 months</v>
      </c>
      <c r="X3521">
        <f t="shared" si="109"/>
        <v>3648.5499999999997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108"/>
        <v>37-48 months</v>
      </c>
      <c r="X3522">
        <f t="shared" si="109"/>
        <v>313.60000000000002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110">IF(F3523&lt;=12,"0-12 months",
IF(A3523&lt;=24,"13-24 months",
IF(A3523&lt;=36,"25-36 months",
IF(F3523&lt;=48,"37-48 months","49+ months"))))</f>
        <v>49+ months</v>
      </c>
      <c r="X3523">
        <f t="shared" ref="X3523:X3586" si="111">S3523 * F3523</f>
        <v>3046.65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10"/>
        <v>37-48 months</v>
      </c>
      <c r="X3524">
        <f t="shared" si="111"/>
        <v>732.6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10"/>
        <v>49+ months</v>
      </c>
      <c r="X3525">
        <f t="shared" si="111"/>
        <v>8071.2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10"/>
        <v>0-12 months</v>
      </c>
      <c r="X3526">
        <f t="shared" si="111"/>
        <v>932.8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10"/>
        <v>49+ months</v>
      </c>
      <c r="X3527">
        <f t="shared" si="111"/>
        <v>4752.5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10"/>
        <v>0-12 months</v>
      </c>
      <c r="X3528">
        <f t="shared" si="111"/>
        <v>251.75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10"/>
        <v>0-12 months</v>
      </c>
      <c r="X3529">
        <f t="shared" si="111"/>
        <v>74.599999999999994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10"/>
        <v>37-48 months</v>
      </c>
      <c r="X3530">
        <f t="shared" si="111"/>
        <v>315.2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10"/>
        <v>0-12 months</v>
      </c>
      <c r="X3531">
        <f t="shared" si="111"/>
        <v>148.4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10"/>
        <v>37-48 months</v>
      </c>
      <c r="X3532">
        <f t="shared" si="111"/>
        <v>1173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10"/>
        <v>37-48 months</v>
      </c>
      <c r="X3533">
        <f t="shared" si="111"/>
        <v>309.60000000000002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10"/>
        <v>37-48 months</v>
      </c>
      <c r="X3534">
        <f t="shared" si="111"/>
        <v>891.75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10"/>
        <v>0-12 months</v>
      </c>
      <c r="X3535">
        <f t="shared" si="111"/>
        <v>198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10"/>
        <v>37-48 months</v>
      </c>
      <c r="X3536">
        <f t="shared" si="111"/>
        <v>4839.2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10"/>
        <v>49+ months</v>
      </c>
      <c r="X3537">
        <f t="shared" si="111"/>
        <v>6988.8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10"/>
        <v>0-12 months</v>
      </c>
      <c r="X3538">
        <f t="shared" si="111"/>
        <v>79.150000000000006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10"/>
        <v>37-48 months</v>
      </c>
      <c r="X3539">
        <f t="shared" si="111"/>
        <v>1341.25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10"/>
        <v>49+ months</v>
      </c>
      <c r="X3540">
        <f t="shared" si="111"/>
        <v>7114.2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10"/>
        <v>0-12 months</v>
      </c>
      <c r="X3541">
        <f t="shared" si="111"/>
        <v>361.2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10"/>
        <v>49+ months</v>
      </c>
      <c r="X3542">
        <f t="shared" si="111"/>
        <v>7822.8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10"/>
        <v>49+ months</v>
      </c>
      <c r="X3543">
        <f t="shared" si="111"/>
        <v>1991.85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10"/>
        <v>37-48 months</v>
      </c>
      <c r="X3544">
        <f t="shared" si="111"/>
        <v>1605.15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10"/>
        <v>49+ months</v>
      </c>
      <c r="X3545">
        <f t="shared" si="111"/>
        <v>7603.2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10"/>
        <v>37-48 months</v>
      </c>
      <c r="X3546">
        <f t="shared" si="111"/>
        <v>2907.7999999999997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10"/>
        <v>49+ months</v>
      </c>
      <c r="X3547">
        <f t="shared" si="111"/>
        <v>4785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10"/>
        <v>49+ months</v>
      </c>
      <c r="X3548">
        <f t="shared" si="111"/>
        <v>5907.2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10"/>
        <v>49+ months</v>
      </c>
      <c r="X3549">
        <f t="shared" si="111"/>
        <v>6303.5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10"/>
        <v>49+ months</v>
      </c>
      <c r="X3550">
        <f t="shared" si="111"/>
        <v>6933.1500000000005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10"/>
        <v>49+ months</v>
      </c>
      <c r="X3551">
        <f t="shared" si="111"/>
        <v>4151.05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10"/>
        <v>37-48 months</v>
      </c>
      <c r="X3552">
        <f t="shared" si="111"/>
        <v>3078.4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10"/>
        <v>0-12 months</v>
      </c>
      <c r="X3553">
        <f t="shared" si="111"/>
        <v>79.599999999999994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10"/>
        <v>49+ months</v>
      </c>
      <c r="X3554">
        <f t="shared" si="111"/>
        <v>6942.7999999999993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10"/>
        <v>49+ months</v>
      </c>
      <c r="X3555">
        <f t="shared" si="111"/>
        <v>1450.8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10"/>
        <v>0-12 months</v>
      </c>
      <c r="X3556">
        <f t="shared" si="111"/>
        <v>497.34999999999997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10"/>
        <v>37-48 months</v>
      </c>
      <c r="X3557">
        <f t="shared" si="111"/>
        <v>1705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10"/>
        <v>0-12 months</v>
      </c>
      <c r="X3558">
        <f t="shared" si="111"/>
        <v>116.69999999999999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10"/>
        <v>37-48 months</v>
      </c>
      <c r="X3559">
        <f t="shared" si="111"/>
        <v>1961.8500000000001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10"/>
        <v>37-48 months</v>
      </c>
      <c r="X3560">
        <f t="shared" si="111"/>
        <v>2581.6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10"/>
        <v>37-48 months</v>
      </c>
      <c r="X3561">
        <f t="shared" si="111"/>
        <v>535.95000000000005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10"/>
        <v>0-12 months</v>
      </c>
      <c r="X3562">
        <f t="shared" si="111"/>
        <v>307.3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10"/>
        <v>37-48 months</v>
      </c>
      <c r="X3563">
        <f t="shared" si="111"/>
        <v>2093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10"/>
        <v>0-12 months</v>
      </c>
      <c r="X3564">
        <f t="shared" si="111"/>
        <v>449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10"/>
        <v>37-48 months</v>
      </c>
      <c r="X3565">
        <f t="shared" si="111"/>
        <v>2715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10"/>
        <v>49+ months</v>
      </c>
      <c r="X3566">
        <f t="shared" si="111"/>
        <v>5698.35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10"/>
        <v>0-12 months</v>
      </c>
      <c r="X3567">
        <f t="shared" si="111"/>
        <v>50.75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10"/>
        <v>49+ months</v>
      </c>
      <c r="X3568">
        <f t="shared" si="111"/>
        <v>4483.7999999999993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10"/>
        <v>37-48 months</v>
      </c>
      <c r="X3569">
        <f t="shared" si="111"/>
        <v>1255.1000000000001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10"/>
        <v>37-48 months</v>
      </c>
      <c r="X3570">
        <f t="shared" si="111"/>
        <v>2082.15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10"/>
        <v>37-48 months</v>
      </c>
      <c r="X3571">
        <f t="shared" si="111"/>
        <v>339.15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10"/>
        <v>37-48 months</v>
      </c>
      <c r="X3572">
        <f t="shared" si="111"/>
        <v>328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10"/>
        <v>37-48 months</v>
      </c>
      <c r="X3573">
        <f t="shared" si="111"/>
        <v>2173.5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10"/>
        <v>37-48 months</v>
      </c>
      <c r="X3574">
        <f t="shared" si="111"/>
        <v>2544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10"/>
        <v>37-48 months</v>
      </c>
      <c r="X3575">
        <f t="shared" si="111"/>
        <v>547.4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10"/>
        <v>0-12 months</v>
      </c>
      <c r="X3576">
        <f t="shared" si="111"/>
        <v>20.350000000000001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10"/>
        <v>49+ months</v>
      </c>
      <c r="X3577">
        <f t="shared" si="111"/>
        <v>3050.3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10"/>
        <v>49+ months</v>
      </c>
      <c r="X3578">
        <f t="shared" si="111"/>
        <v>1677.6000000000001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10"/>
        <v>37-48 months</v>
      </c>
      <c r="X3579">
        <f t="shared" si="111"/>
        <v>2354.4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10"/>
        <v>37-48 months</v>
      </c>
      <c r="X3580">
        <f t="shared" si="111"/>
        <v>2604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10"/>
        <v>37-48 months</v>
      </c>
      <c r="X3581">
        <f t="shared" si="111"/>
        <v>3248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10"/>
        <v>0-12 months</v>
      </c>
      <c r="X3582">
        <f t="shared" si="111"/>
        <v>656.1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10"/>
        <v>49+ months</v>
      </c>
      <c r="X3583">
        <f t="shared" si="111"/>
        <v>4693.5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10"/>
        <v>0-12 months</v>
      </c>
      <c r="X3584">
        <f t="shared" si="111"/>
        <v>241.5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10"/>
        <v>37-48 months</v>
      </c>
      <c r="X3585">
        <f t="shared" si="111"/>
        <v>2412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110"/>
        <v>0-12 months</v>
      </c>
      <c r="X3586">
        <f t="shared" si="111"/>
        <v>600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112">IF(F3587&lt;=12,"0-12 months",
IF(A3587&lt;=24,"13-24 months",
IF(A3587&lt;=36,"25-36 months",
IF(F3587&lt;=48,"37-48 months","49+ months"))))</f>
        <v>37-48 months</v>
      </c>
      <c r="X3587">
        <f t="shared" ref="X3587:X3650" si="113">S3587 * F3587</f>
        <v>3065.1000000000004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12"/>
        <v>0-12 months</v>
      </c>
      <c r="X3588">
        <f t="shared" si="113"/>
        <v>200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12"/>
        <v>0-12 months</v>
      </c>
      <c r="X3589">
        <f t="shared" si="113"/>
        <v>895.05000000000007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12"/>
        <v>0-12 months</v>
      </c>
      <c r="X3590">
        <f t="shared" si="113"/>
        <v>621.44999999999993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12"/>
        <v>37-48 months</v>
      </c>
      <c r="X3591">
        <f t="shared" si="113"/>
        <v>1850.7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12"/>
        <v>49+ months</v>
      </c>
      <c r="X3592">
        <f t="shared" si="113"/>
        <v>992.50000000000011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12"/>
        <v>0-12 months</v>
      </c>
      <c r="X3593">
        <f t="shared" si="113"/>
        <v>172.5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12"/>
        <v>0-12 months</v>
      </c>
      <c r="X3594">
        <f t="shared" si="113"/>
        <v>45.65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12"/>
        <v>0-12 months</v>
      </c>
      <c r="X3595">
        <f t="shared" si="113"/>
        <v>560.79999999999995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12"/>
        <v>0-12 months</v>
      </c>
      <c r="X3596">
        <f t="shared" si="113"/>
        <v>366.75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12"/>
        <v>0-12 months</v>
      </c>
      <c r="X3597">
        <f t="shared" si="113"/>
        <v>140.4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12"/>
        <v>0-12 months</v>
      </c>
      <c r="X3598">
        <f t="shared" si="113"/>
        <v>166.05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12"/>
        <v>37-48 months</v>
      </c>
      <c r="X3599">
        <f t="shared" si="113"/>
        <v>2392.5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12"/>
        <v>0-12 months</v>
      </c>
      <c r="X3600">
        <f t="shared" si="113"/>
        <v>46.3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12"/>
        <v>37-48 months</v>
      </c>
      <c r="X3601">
        <f t="shared" si="113"/>
        <v>3658.5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12"/>
        <v>49+ months</v>
      </c>
      <c r="X3602">
        <f t="shared" si="113"/>
        <v>4294.2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12"/>
        <v>49+ months</v>
      </c>
      <c r="X3603">
        <f t="shared" si="113"/>
        <v>1100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12"/>
        <v>37-48 months</v>
      </c>
      <c r="X3604">
        <f t="shared" si="113"/>
        <v>2513.7000000000003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12"/>
        <v>0-12 months</v>
      </c>
      <c r="X3605">
        <f t="shared" si="113"/>
        <v>91.7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12"/>
        <v>37-48 months</v>
      </c>
      <c r="X3606">
        <f t="shared" si="113"/>
        <v>744.80000000000007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12"/>
        <v>37-48 months</v>
      </c>
      <c r="X3607">
        <f t="shared" si="113"/>
        <v>1693.1999999999998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12"/>
        <v>49+ months</v>
      </c>
      <c r="X3608">
        <f t="shared" si="113"/>
        <v>7122.5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12"/>
        <v>37-48 months</v>
      </c>
      <c r="X3609">
        <f t="shared" si="113"/>
        <v>716.94999999999993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12"/>
        <v>37-48 months</v>
      </c>
      <c r="X3610">
        <f t="shared" si="113"/>
        <v>2934.75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12"/>
        <v>49+ months</v>
      </c>
      <c r="X3611">
        <f t="shared" si="113"/>
        <v>6340.95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12"/>
        <v>0-12 months</v>
      </c>
      <c r="X3612">
        <f t="shared" si="113"/>
        <v>1201.8000000000002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12"/>
        <v>37-48 months</v>
      </c>
      <c r="X3613">
        <f t="shared" si="113"/>
        <v>4085.65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12"/>
        <v>37-48 months</v>
      </c>
      <c r="X3614">
        <f t="shared" si="113"/>
        <v>1547.7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12"/>
        <v>49+ months</v>
      </c>
      <c r="X3615">
        <f t="shared" si="113"/>
        <v>2752.75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12"/>
        <v>49+ months</v>
      </c>
      <c r="X3616">
        <f t="shared" si="113"/>
        <v>4157.25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12"/>
        <v>37-48 months</v>
      </c>
      <c r="X3617">
        <f t="shared" si="113"/>
        <v>2749.5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12"/>
        <v>49+ months</v>
      </c>
      <c r="X3618">
        <f t="shared" si="113"/>
        <v>6023.7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12"/>
        <v>37-48 months</v>
      </c>
      <c r="X3619">
        <f t="shared" si="113"/>
        <v>870.30000000000007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12"/>
        <v>37-48 months</v>
      </c>
      <c r="X3620">
        <f t="shared" si="113"/>
        <v>2549.75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12"/>
        <v>49+ months</v>
      </c>
      <c r="X3621">
        <f t="shared" si="113"/>
        <v>6141.5999999999995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12"/>
        <v>37-48 months</v>
      </c>
      <c r="X3622">
        <f t="shared" si="113"/>
        <v>1650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12"/>
        <v>0-12 months</v>
      </c>
      <c r="X3623">
        <f t="shared" si="113"/>
        <v>48.8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12"/>
        <v>49+ months</v>
      </c>
      <c r="X3624">
        <f t="shared" si="113"/>
        <v>6548.4000000000005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12"/>
        <v>37-48 months</v>
      </c>
      <c r="X3625">
        <f t="shared" si="113"/>
        <v>2673.25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12"/>
        <v>49+ months</v>
      </c>
      <c r="X3626">
        <f t="shared" si="113"/>
        <v>5958.2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12"/>
        <v>49+ months</v>
      </c>
      <c r="X3627">
        <f t="shared" si="113"/>
        <v>1409.3500000000001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12"/>
        <v>37-48 months</v>
      </c>
      <c r="X3628">
        <f t="shared" si="113"/>
        <v>1271.8999999999999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12"/>
        <v>37-48 months</v>
      </c>
      <c r="X3629">
        <f t="shared" si="113"/>
        <v>321.60000000000002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12"/>
        <v>0-12 months</v>
      </c>
      <c r="X3630">
        <f t="shared" si="113"/>
        <v>625.5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12"/>
        <v>37-48 months</v>
      </c>
      <c r="X3631">
        <f t="shared" si="113"/>
        <v>427.54999999999995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12"/>
        <v>0-12 months</v>
      </c>
      <c r="X3632">
        <f t="shared" si="113"/>
        <v>83.8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12"/>
        <v>0-12 months</v>
      </c>
      <c r="X3633">
        <f t="shared" si="113"/>
        <v>49.55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12"/>
        <v>37-48 months</v>
      </c>
      <c r="X3634">
        <f t="shared" si="113"/>
        <v>1911.6000000000001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12"/>
        <v>0-12 months</v>
      </c>
      <c r="X3635">
        <f t="shared" si="113"/>
        <v>71.25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12"/>
        <v>49+ months</v>
      </c>
      <c r="X3636">
        <f t="shared" si="113"/>
        <v>8193.6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12"/>
        <v>49+ months</v>
      </c>
      <c r="X3637">
        <f t="shared" si="113"/>
        <v>1767.6000000000001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12"/>
        <v>0-12 months</v>
      </c>
      <c r="X3638">
        <f t="shared" si="113"/>
        <v>216.7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12"/>
        <v>0-12 months</v>
      </c>
      <c r="X3639">
        <f t="shared" si="113"/>
        <v>182.25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12"/>
        <v>0-12 months</v>
      </c>
      <c r="X3640">
        <f t="shared" si="113"/>
        <v>100.3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12"/>
        <v>49+ months</v>
      </c>
      <c r="X3641">
        <f t="shared" si="113"/>
        <v>6030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12"/>
        <v>37-48 months</v>
      </c>
      <c r="X3642">
        <f t="shared" si="113"/>
        <v>2781.1000000000004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12"/>
        <v>49+ months</v>
      </c>
      <c r="X3643">
        <f t="shared" si="113"/>
        <v>3648.05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12"/>
        <v>37-48 months</v>
      </c>
      <c r="X3644">
        <f t="shared" si="113"/>
        <v>3123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12"/>
        <v>49+ months</v>
      </c>
      <c r="X3645">
        <f t="shared" si="113"/>
        <v>1009.6500000000001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12"/>
        <v>37-48 months</v>
      </c>
      <c r="X3646">
        <f t="shared" si="113"/>
        <v>975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12"/>
        <v>0-12 months</v>
      </c>
      <c r="X3647">
        <f t="shared" si="113"/>
        <v>171.45000000000002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12"/>
        <v>37-48 months</v>
      </c>
      <c r="X3648">
        <f t="shared" si="113"/>
        <v>3194.1000000000004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12"/>
        <v>0-12 months</v>
      </c>
      <c r="X3649">
        <f t="shared" si="113"/>
        <v>557.6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112"/>
        <v>49+ months</v>
      </c>
      <c r="X3650">
        <f t="shared" si="113"/>
        <v>4597.6500000000005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114">IF(F3651&lt;=12,"0-12 months",
IF(A3651&lt;=24,"13-24 months",
IF(A3651&lt;=36,"25-36 months",
IF(F3651&lt;=48,"37-48 months","49+ months"))))</f>
        <v>49+ months</v>
      </c>
      <c r="X3651">
        <f t="shared" ref="X3651:X3714" si="115">S3651 * F3651</f>
        <v>1799.8500000000001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14"/>
        <v>49+ months</v>
      </c>
      <c r="X3652">
        <f t="shared" si="115"/>
        <v>1750.1499999999999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14"/>
        <v>49+ months</v>
      </c>
      <c r="X3653">
        <f t="shared" si="115"/>
        <v>1368.5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14"/>
        <v>0-12 months</v>
      </c>
      <c r="X3654">
        <f t="shared" si="115"/>
        <v>25.25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14"/>
        <v>37-48 months</v>
      </c>
      <c r="X3655">
        <f t="shared" si="115"/>
        <v>2280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14"/>
        <v>37-48 months</v>
      </c>
      <c r="X3656">
        <f t="shared" si="115"/>
        <v>2517.2000000000003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14"/>
        <v>37-48 months</v>
      </c>
      <c r="X3657">
        <f t="shared" si="115"/>
        <v>620.79999999999995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14"/>
        <v>49+ months</v>
      </c>
      <c r="X3658">
        <f t="shared" si="115"/>
        <v>2440.1999999999998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14"/>
        <v>37-48 months</v>
      </c>
      <c r="X3659">
        <f t="shared" si="115"/>
        <v>891.7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14"/>
        <v>0-12 months</v>
      </c>
      <c r="X3660">
        <f t="shared" si="115"/>
        <v>542.5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14"/>
        <v>49+ months</v>
      </c>
      <c r="X3661">
        <f t="shared" si="115"/>
        <v>7363.3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14"/>
        <v>0-12 months</v>
      </c>
      <c r="X3662">
        <f t="shared" si="115"/>
        <v>248.5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14"/>
        <v>49+ months</v>
      </c>
      <c r="X3663">
        <f t="shared" si="115"/>
        <v>4465.05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14"/>
        <v>0-12 months</v>
      </c>
      <c r="X3664">
        <f t="shared" si="115"/>
        <v>406.34999999999997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14"/>
        <v>0-12 months</v>
      </c>
      <c r="X3665">
        <f t="shared" si="115"/>
        <v>795.6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14"/>
        <v>0-12 months</v>
      </c>
      <c r="X3666">
        <f t="shared" si="115"/>
        <v>203.2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14"/>
        <v>49+ months</v>
      </c>
      <c r="X3667">
        <f t="shared" si="115"/>
        <v>7029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14"/>
        <v>49+ months</v>
      </c>
      <c r="X3668">
        <f t="shared" si="115"/>
        <v>4220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14"/>
        <v>37-48 months</v>
      </c>
      <c r="X3669">
        <f t="shared" si="115"/>
        <v>2317.1999999999998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14"/>
        <v>37-48 months</v>
      </c>
      <c r="X3670">
        <f t="shared" si="115"/>
        <v>1314.5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14"/>
        <v>37-48 months</v>
      </c>
      <c r="X3671">
        <f t="shared" si="115"/>
        <v>4906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14"/>
        <v>37-48 months</v>
      </c>
      <c r="X3672">
        <f t="shared" si="115"/>
        <v>800.25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14"/>
        <v>0-12 months</v>
      </c>
      <c r="X3673">
        <f t="shared" si="115"/>
        <v>75.099999999999994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14"/>
        <v>49+ months</v>
      </c>
      <c r="X3674">
        <f t="shared" si="115"/>
        <v>3788.1000000000004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14"/>
        <v>37-48 months</v>
      </c>
      <c r="X3675">
        <f t="shared" si="115"/>
        <v>4273.5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14"/>
        <v>0-12 months</v>
      </c>
      <c r="X3676">
        <f t="shared" si="115"/>
        <v>45.8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14"/>
        <v>0-12 months</v>
      </c>
      <c r="X3677">
        <f t="shared" si="115"/>
        <v>20.5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14"/>
        <v>37-48 months</v>
      </c>
      <c r="X3678">
        <f t="shared" si="115"/>
        <v>2112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14"/>
        <v>0-12 months</v>
      </c>
      <c r="X3679">
        <f t="shared" si="115"/>
        <v>30.55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14"/>
        <v>37-48 months</v>
      </c>
      <c r="X3680">
        <f t="shared" si="115"/>
        <v>1358.4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14"/>
        <v>0-12 months</v>
      </c>
      <c r="X3681">
        <f t="shared" si="115"/>
        <v>20.100000000000001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14"/>
        <v>0-12 months</v>
      </c>
      <c r="X3682">
        <f t="shared" si="115"/>
        <v>365.84999999999997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14"/>
        <v>37-48 months</v>
      </c>
      <c r="X3683">
        <f t="shared" si="115"/>
        <v>4646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14"/>
        <v>0-12 months</v>
      </c>
      <c r="X3684">
        <f t="shared" si="115"/>
        <v>69.099999999999994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14"/>
        <v>49+ months</v>
      </c>
      <c r="X3685">
        <f t="shared" si="115"/>
        <v>3869.5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14"/>
        <v>37-48 months</v>
      </c>
      <c r="X3686">
        <f t="shared" si="115"/>
        <v>3240.0499999999997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14"/>
        <v>49+ months</v>
      </c>
      <c r="X3687">
        <f t="shared" si="115"/>
        <v>2222.5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14"/>
        <v>37-48 months</v>
      </c>
      <c r="X3688">
        <f t="shared" si="115"/>
        <v>975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14"/>
        <v>37-48 months</v>
      </c>
      <c r="X3689">
        <f t="shared" si="115"/>
        <v>1900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14"/>
        <v>37-48 months</v>
      </c>
      <c r="X3690">
        <f t="shared" si="115"/>
        <v>4020.0499999999997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14"/>
        <v>0-12 months</v>
      </c>
      <c r="X3691">
        <f t="shared" si="115"/>
        <v>71.150000000000006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14"/>
        <v>37-48 months</v>
      </c>
      <c r="X3692">
        <f t="shared" si="115"/>
        <v>1299.5999999999999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14"/>
        <v>37-48 months</v>
      </c>
      <c r="X3693">
        <f t="shared" si="115"/>
        <v>2556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14"/>
        <v>0-12 months</v>
      </c>
      <c r="X3694">
        <f t="shared" si="115"/>
        <v>207.45000000000002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14"/>
        <v>37-48 months</v>
      </c>
      <c r="X3695">
        <f t="shared" si="115"/>
        <v>2392.0500000000002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14"/>
        <v>49+ months</v>
      </c>
      <c r="X3696">
        <f t="shared" si="115"/>
        <v>7286.25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14"/>
        <v>37-48 months</v>
      </c>
      <c r="X3697">
        <f t="shared" si="115"/>
        <v>3163.2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14"/>
        <v>0-12 months</v>
      </c>
      <c r="X3698">
        <f t="shared" si="115"/>
        <v>294.89999999999998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14"/>
        <v>37-48 months</v>
      </c>
      <c r="X3699">
        <f t="shared" si="115"/>
        <v>2867.2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14"/>
        <v>49+ months</v>
      </c>
      <c r="X3700">
        <f t="shared" si="115"/>
        <v>4911.75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14"/>
        <v>37-48 months</v>
      </c>
      <c r="X3701">
        <f t="shared" si="115"/>
        <v>2107.5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14"/>
        <v>37-48 months</v>
      </c>
      <c r="X3702">
        <f t="shared" si="115"/>
        <v>388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14"/>
        <v>37-48 months</v>
      </c>
      <c r="X3703">
        <f t="shared" si="115"/>
        <v>661.5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14"/>
        <v>37-48 months</v>
      </c>
      <c r="X3704">
        <f t="shared" si="115"/>
        <v>1583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14"/>
        <v>0-12 months</v>
      </c>
      <c r="X3705">
        <f t="shared" si="115"/>
        <v>180.9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14"/>
        <v>49+ months</v>
      </c>
      <c r="X3706">
        <f t="shared" si="115"/>
        <v>4964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14"/>
        <v>49+ months</v>
      </c>
      <c r="X3707">
        <f t="shared" si="115"/>
        <v>4236.5999999999995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14"/>
        <v>37-48 months</v>
      </c>
      <c r="X3708">
        <f t="shared" si="115"/>
        <v>2191.7999999999997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14"/>
        <v>49+ months</v>
      </c>
      <c r="X3709">
        <f t="shared" si="115"/>
        <v>1373.1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14"/>
        <v>0-12 months</v>
      </c>
      <c r="X3710">
        <f t="shared" si="115"/>
        <v>224.39999999999998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14"/>
        <v>0-12 months</v>
      </c>
      <c r="X3711">
        <f t="shared" si="115"/>
        <v>50.75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14"/>
        <v>0-12 months</v>
      </c>
      <c r="X3712">
        <f t="shared" si="115"/>
        <v>204.5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14"/>
        <v>49+ months</v>
      </c>
      <c r="X3713">
        <f t="shared" si="115"/>
        <v>4166.25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114"/>
        <v>37-48 months</v>
      </c>
      <c r="X3714">
        <f t="shared" si="115"/>
        <v>2877.6000000000004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116">IF(F3715&lt;=12,"0-12 months",
IF(A3715&lt;=24,"13-24 months",
IF(A3715&lt;=36,"25-36 months",
IF(F3715&lt;=48,"37-48 months","49+ months"))))</f>
        <v>37-48 months</v>
      </c>
      <c r="X3715">
        <f t="shared" ref="X3715:X3778" si="117">S3715 * F3715</f>
        <v>3698.4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16"/>
        <v>49+ months</v>
      </c>
      <c r="X3716">
        <f t="shared" si="117"/>
        <v>4122.75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16"/>
        <v>0-12 months</v>
      </c>
      <c r="X3717">
        <f t="shared" si="117"/>
        <v>863.5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16"/>
        <v>0-12 months</v>
      </c>
      <c r="X3718">
        <f t="shared" si="117"/>
        <v>1122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16"/>
        <v>37-48 months</v>
      </c>
      <c r="X3719">
        <f t="shared" si="117"/>
        <v>1419.5500000000002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16"/>
        <v>49+ months</v>
      </c>
      <c r="X3720">
        <f t="shared" si="117"/>
        <v>5680.05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16"/>
        <v>37-48 months</v>
      </c>
      <c r="X3721">
        <f t="shared" si="117"/>
        <v>511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16"/>
        <v>37-48 months</v>
      </c>
      <c r="X3722">
        <f t="shared" si="117"/>
        <v>2291.1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16"/>
        <v>0-12 months</v>
      </c>
      <c r="X3723">
        <f t="shared" si="117"/>
        <v>41.3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16"/>
        <v>37-48 months</v>
      </c>
      <c r="X3724">
        <f t="shared" si="117"/>
        <v>934.94999999999993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16"/>
        <v>37-48 months</v>
      </c>
      <c r="X3725">
        <f t="shared" si="117"/>
        <v>368.09999999999997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16"/>
        <v>49+ months</v>
      </c>
      <c r="X3726">
        <f t="shared" si="117"/>
        <v>1537.6000000000001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16"/>
        <v>0-12 months</v>
      </c>
      <c r="X3727">
        <f t="shared" si="117"/>
        <v>70.8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16"/>
        <v>37-48 months</v>
      </c>
      <c r="X3728">
        <f t="shared" si="117"/>
        <v>1424.8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16"/>
        <v>0-12 months</v>
      </c>
      <c r="X3729">
        <f t="shared" si="117"/>
        <v>289.79999999999995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16"/>
        <v>49+ months</v>
      </c>
      <c r="X3730">
        <f t="shared" si="117"/>
        <v>5949.5999999999995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16"/>
        <v>49+ months</v>
      </c>
      <c r="X3731">
        <f t="shared" si="117"/>
        <v>1243.1000000000001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16"/>
        <v>49+ months</v>
      </c>
      <c r="X3732">
        <f t="shared" si="117"/>
        <v>5956.5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16"/>
        <v>0-12 months</v>
      </c>
      <c r="X3733">
        <f t="shared" si="117"/>
        <v>139.6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16"/>
        <v>37-48 months</v>
      </c>
      <c r="X3734">
        <f t="shared" si="117"/>
        <v>1774.45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16"/>
        <v>37-48 months</v>
      </c>
      <c r="X3735">
        <f t="shared" si="117"/>
        <v>876.24999999999989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16"/>
        <v>49+ months</v>
      </c>
      <c r="X3736">
        <f t="shared" si="117"/>
        <v>7783.2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16"/>
        <v>0-12 months</v>
      </c>
      <c r="X3737">
        <f t="shared" si="117"/>
        <v>168.1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16"/>
        <v>0-12 months</v>
      </c>
      <c r="X3738">
        <f t="shared" si="117"/>
        <v>161.6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16"/>
        <v>0-12 months</v>
      </c>
      <c r="X3739">
        <f t="shared" si="117"/>
        <v>253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16"/>
        <v>37-48 months</v>
      </c>
      <c r="X3740">
        <f t="shared" si="117"/>
        <v>1722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16"/>
        <v>37-48 months</v>
      </c>
      <c r="X3741">
        <f t="shared" si="117"/>
        <v>590.40000000000009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16"/>
        <v>0-12 months</v>
      </c>
      <c r="X3742">
        <f t="shared" si="117"/>
        <v>143.30000000000001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16"/>
        <v>49+ months</v>
      </c>
      <c r="X3743">
        <f t="shared" si="117"/>
        <v>7552.8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16"/>
        <v>37-48 months</v>
      </c>
      <c r="X3744">
        <f t="shared" si="117"/>
        <v>4366.5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16"/>
        <v>0-12 months</v>
      </c>
      <c r="X3745">
        <f t="shared" si="117"/>
        <v>197.4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16"/>
        <v>37-48 months</v>
      </c>
      <c r="X3746">
        <f t="shared" si="117"/>
        <v>1963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16"/>
        <v>0-12 months</v>
      </c>
      <c r="X3747">
        <f t="shared" si="117"/>
        <v>659.75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16"/>
        <v>0-12 months</v>
      </c>
      <c r="X3748">
        <f t="shared" si="117"/>
        <v>68.95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16"/>
        <v>0-12 months</v>
      </c>
      <c r="X3749">
        <f t="shared" si="117"/>
        <v>234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16"/>
        <v>37-48 months</v>
      </c>
      <c r="X3750">
        <f t="shared" si="117"/>
        <v>3787.2000000000003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16"/>
        <v>0-12 months</v>
      </c>
      <c r="X3751">
        <f t="shared" si="117"/>
        <v>187.7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16"/>
        <v>0-12 months</v>
      </c>
      <c r="X3752">
        <f t="shared" si="117"/>
        <v>950.40000000000009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16"/>
        <v>49+ months</v>
      </c>
      <c r="X3753">
        <f t="shared" si="117"/>
        <v>6567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16"/>
        <v>49+ months</v>
      </c>
      <c r="X3754">
        <f t="shared" si="117"/>
        <v>3256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16"/>
        <v>0-12 months</v>
      </c>
      <c r="X3755">
        <f t="shared" si="117"/>
        <v>29.15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16"/>
        <v>0-12 months</v>
      </c>
      <c r="X3756">
        <f t="shared" si="117"/>
        <v>20.05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16"/>
        <v>0-12 months</v>
      </c>
      <c r="X3757">
        <f t="shared" si="117"/>
        <v>304.2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16"/>
        <v>0-12 months</v>
      </c>
      <c r="X3758">
        <f t="shared" si="117"/>
        <v>24.45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16"/>
        <v>37-48 months</v>
      </c>
      <c r="X3759">
        <f t="shared" si="117"/>
        <v>2793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16"/>
        <v>0-12 months</v>
      </c>
      <c r="X3760">
        <f t="shared" si="117"/>
        <v>49.55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16"/>
        <v>0-12 months</v>
      </c>
      <c r="X3761">
        <f t="shared" si="117"/>
        <v>625.44999999999993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16"/>
        <v>0-12 months</v>
      </c>
      <c r="X3762">
        <f t="shared" si="117"/>
        <v>220.79999999999998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16"/>
        <v>49+ months</v>
      </c>
      <c r="X3763">
        <f t="shared" si="117"/>
        <v>5950.8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16"/>
        <v>37-48 months</v>
      </c>
      <c r="X3764">
        <f t="shared" si="117"/>
        <v>735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16"/>
        <v>0-12 months</v>
      </c>
      <c r="X3765">
        <f t="shared" si="117"/>
        <v>321.39999999999998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16"/>
        <v>0-12 months</v>
      </c>
      <c r="X3766">
        <f t="shared" si="117"/>
        <v>277.2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16"/>
        <v>0-12 months</v>
      </c>
      <c r="X3767">
        <f t="shared" si="117"/>
        <v>127.25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16"/>
        <v>0-12 months</v>
      </c>
      <c r="X3768">
        <f t="shared" si="117"/>
        <v>55.8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16"/>
        <v>49+ months</v>
      </c>
      <c r="X3769">
        <f t="shared" si="117"/>
        <v>7984.8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16"/>
        <v>49+ months</v>
      </c>
      <c r="X3770">
        <f t="shared" si="117"/>
        <v>4276.25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16"/>
        <v>37-48 months</v>
      </c>
      <c r="X3771">
        <f t="shared" si="117"/>
        <v>1048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16"/>
        <v>49+ months</v>
      </c>
      <c r="X3772">
        <f t="shared" si="117"/>
        <v>1134.3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16"/>
        <v>0-12 months</v>
      </c>
      <c r="X3773">
        <f t="shared" si="117"/>
        <v>79.05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16"/>
        <v>0-12 months</v>
      </c>
      <c r="X3774">
        <f t="shared" si="117"/>
        <v>95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16"/>
        <v>0-12 months</v>
      </c>
      <c r="X3775">
        <f t="shared" si="117"/>
        <v>25.2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16"/>
        <v>49+ months</v>
      </c>
      <c r="X3776">
        <f t="shared" si="117"/>
        <v>4204.2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16"/>
        <v>37-48 months</v>
      </c>
      <c r="X3777">
        <f t="shared" si="117"/>
        <v>4034.4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116"/>
        <v>37-48 months</v>
      </c>
      <c r="X3778">
        <f t="shared" si="117"/>
        <v>2423.0500000000002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118">IF(F3779&lt;=12,"0-12 months",
IF(A3779&lt;=24,"13-24 months",
IF(A3779&lt;=36,"25-36 months",
IF(F3779&lt;=48,"37-48 months","49+ months"))))</f>
        <v>37-48 months</v>
      </c>
      <c r="X3779">
        <f t="shared" ref="X3779:X3842" si="119">S3779 * F3779</f>
        <v>907.1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18"/>
        <v>0-12 months</v>
      </c>
      <c r="X3780">
        <f t="shared" si="119"/>
        <v>151.19999999999999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18"/>
        <v>49+ months</v>
      </c>
      <c r="X3781">
        <f t="shared" si="119"/>
        <v>5240.4000000000005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18"/>
        <v>49+ months</v>
      </c>
      <c r="X3782">
        <f t="shared" si="119"/>
        <v>3038.75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18"/>
        <v>37-48 months</v>
      </c>
      <c r="X3783">
        <f t="shared" si="119"/>
        <v>553.90000000000009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18"/>
        <v>0-12 months</v>
      </c>
      <c r="X3784">
        <f t="shared" si="119"/>
        <v>1008.5999999999999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18"/>
        <v>49+ months</v>
      </c>
      <c r="X3785">
        <f t="shared" si="119"/>
        <v>6943.2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18"/>
        <v>37-48 months</v>
      </c>
      <c r="X3786">
        <f t="shared" si="119"/>
        <v>3549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18"/>
        <v>0-12 months</v>
      </c>
      <c r="X3787">
        <f t="shared" si="119"/>
        <v>898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18"/>
        <v>37-48 months</v>
      </c>
      <c r="X3788">
        <f t="shared" si="119"/>
        <v>2045.25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18"/>
        <v>49+ months</v>
      </c>
      <c r="X3789">
        <f t="shared" si="119"/>
        <v>5527.4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18"/>
        <v>49+ months</v>
      </c>
      <c r="X3790">
        <f t="shared" si="119"/>
        <v>5926.5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18"/>
        <v>0-12 months</v>
      </c>
      <c r="X3791">
        <f t="shared" si="119"/>
        <v>178.65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18"/>
        <v>0-12 months</v>
      </c>
      <c r="X3792">
        <f t="shared" si="119"/>
        <v>38.6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18"/>
        <v>0-12 months</v>
      </c>
      <c r="X3793">
        <f t="shared" si="119"/>
        <v>414.59999999999997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18"/>
        <v>37-48 months</v>
      </c>
      <c r="X3794">
        <f t="shared" si="119"/>
        <v>2372.5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18"/>
        <v>0-12 months</v>
      </c>
      <c r="X3795">
        <f t="shared" si="119"/>
        <v>182.25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18"/>
        <v>0-12 months</v>
      </c>
      <c r="X3796">
        <f t="shared" si="119"/>
        <v>438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18"/>
        <v>0-12 months</v>
      </c>
      <c r="X3797">
        <f t="shared" si="119"/>
        <v>977.40000000000009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18"/>
        <v>37-48 months</v>
      </c>
      <c r="X3798">
        <f t="shared" si="119"/>
        <v>736.5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18"/>
        <v>37-48 months</v>
      </c>
      <c r="X3799">
        <f t="shared" si="119"/>
        <v>3448.6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18"/>
        <v>37-48 months</v>
      </c>
      <c r="X3800">
        <f t="shared" si="119"/>
        <v>4212.5999999999995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18"/>
        <v>37-48 months</v>
      </c>
      <c r="X3801">
        <f t="shared" si="119"/>
        <v>2022.75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18"/>
        <v>49+ months</v>
      </c>
      <c r="X3802">
        <f t="shared" si="119"/>
        <v>6002.7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18"/>
        <v>37-48 months</v>
      </c>
      <c r="X3803">
        <f t="shared" si="119"/>
        <v>1538.1000000000001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18"/>
        <v>0-12 months</v>
      </c>
      <c r="X3804">
        <f t="shared" si="119"/>
        <v>20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18"/>
        <v>49+ months</v>
      </c>
      <c r="X3805">
        <f t="shared" si="119"/>
        <v>5740.0999999999995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18"/>
        <v>0-12 months</v>
      </c>
      <c r="X3806">
        <f t="shared" si="119"/>
        <v>798.5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18"/>
        <v>0-12 months</v>
      </c>
      <c r="X3807">
        <f t="shared" si="119"/>
        <v>71.650000000000006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18"/>
        <v>37-48 months</v>
      </c>
      <c r="X3808">
        <f t="shared" si="119"/>
        <v>1323.8999999999999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18"/>
        <v>37-48 months</v>
      </c>
      <c r="X3809">
        <f t="shared" si="119"/>
        <v>2511.6000000000004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18"/>
        <v>0-12 months</v>
      </c>
      <c r="X3810">
        <f t="shared" si="119"/>
        <v>57.900000000000006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18"/>
        <v>49+ months</v>
      </c>
      <c r="X3811">
        <f t="shared" si="119"/>
        <v>1007.4999999999999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18"/>
        <v>0-12 months</v>
      </c>
      <c r="X3812">
        <f t="shared" si="119"/>
        <v>44.55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18"/>
        <v>0-12 months</v>
      </c>
      <c r="X3813">
        <f t="shared" si="119"/>
        <v>108.9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18"/>
        <v>37-48 months</v>
      </c>
      <c r="X3814">
        <f t="shared" si="119"/>
        <v>334.04999999999995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18"/>
        <v>49+ months</v>
      </c>
      <c r="X3815">
        <f t="shared" si="119"/>
        <v>7245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18"/>
        <v>49+ months</v>
      </c>
      <c r="X3816">
        <f t="shared" si="119"/>
        <v>6386.4000000000005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18"/>
        <v>0-12 months</v>
      </c>
      <c r="X3817">
        <f t="shared" si="119"/>
        <v>222.75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18"/>
        <v>49+ months</v>
      </c>
      <c r="X3818">
        <f t="shared" si="119"/>
        <v>3757.5000000000005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18"/>
        <v>49+ months</v>
      </c>
      <c r="X3819">
        <f t="shared" si="119"/>
        <v>1073.25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18"/>
        <v>49+ months</v>
      </c>
      <c r="X3820">
        <f t="shared" si="119"/>
        <v>6327.7999999999993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18"/>
        <v>37-48 months</v>
      </c>
      <c r="X3821">
        <f t="shared" si="119"/>
        <v>1414.5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18"/>
        <v>49+ months</v>
      </c>
      <c r="X3822">
        <f t="shared" si="119"/>
        <v>8128.8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18"/>
        <v>0-12 months</v>
      </c>
      <c r="X3823">
        <f t="shared" si="119"/>
        <v>74.2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18"/>
        <v>0-12 months</v>
      </c>
      <c r="X3824">
        <f t="shared" si="119"/>
        <v>564.29999999999995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18"/>
        <v>49+ months</v>
      </c>
      <c r="X3825">
        <f t="shared" si="119"/>
        <v>5677.2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18"/>
        <v>0-12 months</v>
      </c>
      <c r="X3826">
        <f t="shared" si="119"/>
        <v>221.2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18"/>
        <v>49+ months</v>
      </c>
      <c r="X3827">
        <f t="shared" si="119"/>
        <v>1006.2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118"/>
        <v>0-12 months</v>
      </c>
      <c r="X3828">
        <f t="shared" si="119"/>
        <v>0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18"/>
        <v>0-12 months</v>
      </c>
      <c r="X3829">
        <f t="shared" si="119"/>
        <v>40.9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18"/>
        <v>49+ months</v>
      </c>
      <c r="X3830">
        <f t="shared" si="119"/>
        <v>1257.75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18"/>
        <v>37-48 months</v>
      </c>
      <c r="X3831">
        <f t="shared" si="119"/>
        <v>4343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18"/>
        <v>0-12 months</v>
      </c>
      <c r="X3832">
        <f t="shared" si="119"/>
        <v>400.8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18"/>
        <v>37-48 months</v>
      </c>
      <c r="X3833">
        <f t="shared" si="119"/>
        <v>2226.25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18"/>
        <v>49+ months</v>
      </c>
      <c r="X3834">
        <f t="shared" si="119"/>
        <v>4011.15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18"/>
        <v>0-12 months</v>
      </c>
      <c r="X3835">
        <f t="shared" si="119"/>
        <v>897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18"/>
        <v>49+ months</v>
      </c>
      <c r="X3836">
        <f t="shared" si="119"/>
        <v>3995.7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18"/>
        <v>37-48 months</v>
      </c>
      <c r="X3837">
        <f t="shared" si="119"/>
        <v>477.59999999999997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18"/>
        <v>49+ months</v>
      </c>
      <c r="X3838">
        <f t="shared" si="119"/>
        <v>3734.4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18"/>
        <v>0-12 months</v>
      </c>
      <c r="X3839">
        <f t="shared" si="119"/>
        <v>422.6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18"/>
        <v>37-48 months</v>
      </c>
      <c r="X3840">
        <f t="shared" si="119"/>
        <v>2613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18"/>
        <v>37-48 months</v>
      </c>
      <c r="X3841">
        <f t="shared" si="119"/>
        <v>300.75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118"/>
        <v>49+ months</v>
      </c>
      <c r="X3842">
        <f t="shared" si="119"/>
        <v>1641.6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120">IF(F3843&lt;=12,"0-12 months",
IF(A3843&lt;=24,"13-24 months",
IF(A3843&lt;=36,"25-36 months",
IF(F3843&lt;=48,"37-48 months","49+ months"))))</f>
        <v>37-48 months</v>
      </c>
      <c r="X3843">
        <f t="shared" ref="X3843:X3906" si="121">S3843 * F3843</f>
        <v>3474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20"/>
        <v>37-48 months</v>
      </c>
      <c r="X3844">
        <f t="shared" si="121"/>
        <v>2565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20"/>
        <v>0-12 months</v>
      </c>
      <c r="X3845">
        <f t="shared" si="121"/>
        <v>70.849999999999994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20"/>
        <v>37-48 months</v>
      </c>
      <c r="X3846">
        <f t="shared" si="121"/>
        <v>3008.25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20"/>
        <v>0-12 months</v>
      </c>
      <c r="X3847">
        <f t="shared" si="121"/>
        <v>295.60000000000002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20"/>
        <v>0-12 months</v>
      </c>
      <c r="X3848">
        <f t="shared" si="121"/>
        <v>363.6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20"/>
        <v>0-12 months</v>
      </c>
      <c r="X3849">
        <f t="shared" si="121"/>
        <v>200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20"/>
        <v>0-12 months</v>
      </c>
      <c r="X3850">
        <f t="shared" si="121"/>
        <v>98.4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20"/>
        <v>49+ months</v>
      </c>
      <c r="X3851">
        <f t="shared" si="121"/>
        <v>6348.1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20"/>
        <v>49+ months</v>
      </c>
      <c r="X3852">
        <f t="shared" si="121"/>
        <v>4245.75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20"/>
        <v>37-48 months</v>
      </c>
      <c r="X3853">
        <f t="shared" si="121"/>
        <v>885.5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20"/>
        <v>0-12 months</v>
      </c>
      <c r="X3854">
        <f t="shared" si="121"/>
        <v>19.649999999999999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20"/>
        <v>37-48 months</v>
      </c>
      <c r="X3855">
        <f t="shared" si="121"/>
        <v>3348.7999999999997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20"/>
        <v>49+ months</v>
      </c>
      <c r="X3856">
        <f t="shared" si="121"/>
        <v>5482.5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20"/>
        <v>49+ months</v>
      </c>
      <c r="X3857">
        <f t="shared" si="121"/>
        <v>3445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20"/>
        <v>49+ months</v>
      </c>
      <c r="X3858">
        <f t="shared" si="121"/>
        <v>6960.0999999999995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20"/>
        <v>0-12 months</v>
      </c>
      <c r="X3859">
        <f t="shared" si="121"/>
        <v>103.25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20"/>
        <v>37-48 months</v>
      </c>
      <c r="X3860">
        <f t="shared" si="121"/>
        <v>4086.65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20"/>
        <v>49+ months</v>
      </c>
      <c r="X3861">
        <f t="shared" si="121"/>
        <v>5116.5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20"/>
        <v>37-48 months</v>
      </c>
      <c r="X3862">
        <f t="shared" si="121"/>
        <v>481.65000000000003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20"/>
        <v>37-48 months</v>
      </c>
      <c r="X3863">
        <f t="shared" si="121"/>
        <v>2741.7000000000003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20"/>
        <v>49+ months</v>
      </c>
      <c r="X3864">
        <f t="shared" si="121"/>
        <v>1778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20"/>
        <v>37-48 months</v>
      </c>
      <c r="X3865">
        <f t="shared" si="121"/>
        <v>1743.35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20"/>
        <v>37-48 months</v>
      </c>
      <c r="X3866">
        <f t="shared" si="121"/>
        <v>3006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20"/>
        <v>0-12 months</v>
      </c>
      <c r="X3867">
        <f t="shared" si="121"/>
        <v>24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20"/>
        <v>37-48 months</v>
      </c>
      <c r="X3868">
        <f t="shared" si="121"/>
        <v>486.40000000000003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20"/>
        <v>37-48 months</v>
      </c>
      <c r="X3869">
        <f t="shared" si="121"/>
        <v>1911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20"/>
        <v>37-48 months</v>
      </c>
      <c r="X3870">
        <f t="shared" si="121"/>
        <v>1555.05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20"/>
        <v>49+ months</v>
      </c>
      <c r="X3871">
        <f t="shared" si="121"/>
        <v>4912.5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20"/>
        <v>49+ months</v>
      </c>
      <c r="X3872">
        <f t="shared" si="121"/>
        <v>3699.2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20"/>
        <v>0-12 months</v>
      </c>
      <c r="X3873">
        <f t="shared" si="121"/>
        <v>304.64999999999998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20"/>
        <v>0-12 months</v>
      </c>
      <c r="X3874">
        <f t="shared" si="121"/>
        <v>927.9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20"/>
        <v>49+ months</v>
      </c>
      <c r="X3875">
        <f t="shared" si="121"/>
        <v>1744.2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20"/>
        <v>0-12 months</v>
      </c>
      <c r="X3876">
        <f t="shared" si="121"/>
        <v>393.75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20"/>
        <v>37-48 months</v>
      </c>
      <c r="X3877">
        <f t="shared" si="121"/>
        <v>4589.95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20"/>
        <v>37-48 months</v>
      </c>
      <c r="X3878">
        <f t="shared" si="121"/>
        <v>2214.3000000000002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20"/>
        <v>37-48 months</v>
      </c>
      <c r="X3879">
        <f t="shared" si="121"/>
        <v>1174.95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20"/>
        <v>49+ months</v>
      </c>
      <c r="X3880">
        <f t="shared" si="121"/>
        <v>8239.5499999999993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20"/>
        <v>0-12 months</v>
      </c>
      <c r="X3881">
        <f t="shared" si="121"/>
        <v>45.75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20"/>
        <v>37-48 months</v>
      </c>
      <c r="X3882">
        <f t="shared" si="121"/>
        <v>2132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20"/>
        <v>49+ months</v>
      </c>
      <c r="X3883">
        <f t="shared" si="121"/>
        <v>4625.6500000000005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20"/>
        <v>0-12 months</v>
      </c>
      <c r="X3884">
        <f t="shared" si="121"/>
        <v>179.2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20"/>
        <v>0-12 months</v>
      </c>
      <c r="X3885">
        <f t="shared" si="121"/>
        <v>957.59999999999991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20"/>
        <v>37-48 months</v>
      </c>
      <c r="X3886">
        <f t="shared" si="121"/>
        <v>1599.3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20"/>
        <v>0-12 months</v>
      </c>
      <c r="X3887">
        <f t="shared" si="121"/>
        <v>224.85000000000002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20"/>
        <v>49+ months</v>
      </c>
      <c r="X3888">
        <f t="shared" si="121"/>
        <v>7693.2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20"/>
        <v>0-12 months</v>
      </c>
      <c r="X3889">
        <f t="shared" si="121"/>
        <v>824.45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20"/>
        <v>0-12 months</v>
      </c>
      <c r="X3890">
        <f t="shared" si="121"/>
        <v>80.150000000000006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20"/>
        <v>37-48 months</v>
      </c>
      <c r="X3891">
        <f t="shared" si="121"/>
        <v>250.9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20"/>
        <v>49+ months</v>
      </c>
      <c r="X3892">
        <f t="shared" si="121"/>
        <v>7866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20"/>
        <v>37-48 months</v>
      </c>
      <c r="X3893">
        <f t="shared" si="121"/>
        <v>2356.2000000000003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20"/>
        <v>37-48 months</v>
      </c>
      <c r="X3894">
        <f t="shared" si="121"/>
        <v>334.9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20"/>
        <v>0-12 months</v>
      </c>
      <c r="X3895">
        <f t="shared" si="121"/>
        <v>359.09999999999997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20"/>
        <v>49+ months</v>
      </c>
      <c r="X3896">
        <f t="shared" si="121"/>
        <v>8064.7999999999993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20"/>
        <v>49+ months</v>
      </c>
      <c r="X3897">
        <f t="shared" si="121"/>
        <v>1352.3999999999999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20"/>
        <v>37-48 months</v>
      </c>
      <c r="X3898">
        <f t="shared" si="121"/>
        <v>771.4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20"/>
        <v>49+ months</v>
      </c>
      <c r="X3899">
        <f t="shared" si="121"/>
        <v>8316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20"/>
        <v>37-48 months</v>
      </c>
      <c r="X3900">
        <f t="shared" si="121"/>
        <v>1202.4000000000001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20"/>
        <v>49+ months</v>
      </c>
      <c r="X3901">
        <f t="shared" si="121"/>
        <v>5673.2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20"/>
        <v>37-48 months</v>
      </c>
      <c r="X3902">
        <f t="shared" si="121"/>
        <v>687.75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20"/>
        <v>49+ months</v>
      </c>
      <c r="X3903">
        <f t="shared" si="121"/>
        <v>7457.0999999999995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20"/>
        <v>0-12 months</v>
      </c>
      <c r="X3904">
        <f t="shared" si="121"/>
        <v>29.9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20"/>
        <v>49+ months</v>
      </c>
      <c r="X3905">
        <f t="shared" si="121"/>
        <v>4271.7999999999993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120"/>
        <v>37-48 months</v>
      </c>
      <c r="X3906">
        <f t="shared" si="121"/>
        <v>707.2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122">IF(F3907&lt;=12,"0-12 months",
IF(A3907&lt;=24,"13-24 months",
IF(A3907&lt;=36,"25-36 months",
IF(F3907&lt;=48,"37-48 months","49+ months"))))</f>
        <v>0-12 months</v>
      </c>
      <c r="X3907">
        <f t="shared" ref="X3907:X3970" si="123">S3907 * F3907</f>
        <v>105.60000000000001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22"/>
        <v>0-12 months</v>
      </c>
      <c r="X3908">
        <f t="shared" si="123"/>
        <v>78.8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22"/>
        <v>37-48 months</v>
      </c>
      <c r="X3909">
        <f t="shared" si="123"/>
        <v>1709.05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22"/>
        <v>49+ months</v>
      </c>
      <c r="X3910">
        <f t="shared" si="123"/>
        <v>6963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22"/>
        <v>0-12 months</v>
      </c>
      <c r="X3911">
        <f t="shared" si="123"/>
        <v>215.05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22"/>
        <v>37-48 months</v>
      </c>
      <c r="X3912">
        <f t="shared" si="123"/>
        <v>5000.8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22"/>
        <v>37-48 months</v>
      </c>
      <c r="X3913">
        <f t="shared" si="123"/>
        <v>889.19999999999993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22"/>
        <v>49+ months</v>
      </c>
      <c r="X3914">
        <f t="shared" si="123"/>
        <v>6915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22"/>
        <v>49+ months</v>
      </c>
      <c r="X3915">
        <f t="shared" si="123"/>
        <v>1785.6000000000001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22"/>
        <v>37-48 months</v>
      </c>
      <c r="X3916">
        <f t="shared" si="123"/>
        <v>776.09999999999991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22"/>
        <v>49+ months</v>
      </c>
      <c r="X3917">
        <f t="shared" si="123"/>
        <v>4793.75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22"/>
        <v>0-12 months</v>
      </c>
      <c r="X3918">
        <f t="shared" si="123"/>
        <v>139.9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22"/>
        <v>0-12 months</v>
      </c>
      <c r="X3919">
        <f t="shared" si="123"/>
        <v>69.099999999999994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22"/>
        <v>37-48 months</v>
      </c>
      <c r="X3920">
        <f t="shared" si="123"/>
        <v>1804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22"/>
        <v>0-12 months</v>
      </c>
      <c r="X3921">
        <f t="shared" si="123"/>
        <v>561.29999999999995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22"/>
        <v>49+ months</v>
      </c>
      <c r="X3922">
        <f t="shared" si="123"/>
        <v>6134.4000000000005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22"/>
        <v>37-48 months</v>
      </c>
      <c r="X3923">
        <f t="shared" si="123"/>
        <v>1591.1999999999998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22"/>
        <v>49+ months</v>
      </c>
      <c r="X3924">
        <f t="shared" si="123"/>
        <v>6341.55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22"/>
        <v>0-12 months</v>
      </c>
      <c r="X3925">
        <f t="shared" si="123"/>
        <v>80.849999999999994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22"/>
        <v>37-48 months</v>
      </c>
      <c r="X3926">
        <f t="shared" si="123"/>
        <v>3938.3999999999996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22"/>
        <v>37-48 months</v>
      </c>
      <c r="X3927">
        <f t="shared" si="123"/>
        <v>2667.7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22"/>
        <v>0-12 months</v>
      </c>
      <c r="X3928">
        <f t="shared" si="123"/>
        <v>381.70000000000005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22"/>
        <v>0-12 months</v>
      </c>
      <c r="X3929">
        <f t="shared" si="123"/>
        <v>61.650000000000006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22"/>
        <v>37-48 months</v>
      </c>
      <c r="X3930">
        <f t="shared" si="123"/>
        <v>1727.1000000000001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22"/>
        <v>49+ months</v>
      </c>
      <c r="X3931">
        <f t="shared" si="123"/>
        <v>2240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22"/>
        <v>49+ months</v>
      </c>
      <c r="X3932">
        <f t="shared" si="123"/>
        <v>7329.8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22"/>
        <v>37-48 months</v>
      </c>
      <c r="X3933">
        <f t="shared" si="123"/>
        <v>1776.25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22"/>
        <v>0-12 months</v>
      </c>
      <c r="X3934">
        <f t="shared" si="123"/>
        <v>157.1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22"/>
        <v>0-12 months</v>
      </c>
      <c r="X3935">
        <f t="shared" si="123"/>
        <v>177.29999999999998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22"/>
        <v>0-12 months</v>
      </c>
      <c r="X3936">
        <f t="shared" si="123"/>
        <v>402.5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22"/>
        <v>49+ months</v>
      </c>
      <c r="X3937">
        <f t="shared" si="123"/>
        <v>1389.5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22"/>
        <v>0-12 months</v>
      </c>
      <c r="X3938">
        <f t="shared" si="123"/>
        <v>614.25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22"/>
        <v>0-12 months</v>
      </c>
      <c r="X3939">
        <f t="shared" si="123"/>
        <v>80.599999999999994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22"/>
        <v>0-12 months</v>
      </c>
      <c r="X3940">
        <f t="shared" si="123"/>
        <v>101.9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22"/>
        <v>0-12 months</v>
      </c>
      <c r="X3941">
        <f t="shared" si="123"/>
        <v>78.650000000000006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22"/>
        <v>37-48 months</v>
      </c>
      <c r="X3942">
        <f t="shared" si="123"/>
        <v>477.84999999999997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22"/>
        <v>0-12 months</v>
      </c>
      <c r="X3943">
        <f t="shared" si="123"/>
        <v>141.75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22"/>
        <v>0-12 months</v>
      </c>
      <c r="X3944">
        <f t="shared" si="123"/>
        <v>42.9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22"/>
        <v>0-12 months</v>
      </c>
      <c r="X3945">
        <f t="shared" si="123"/>
        <v>44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22"/>
        <v>0-12 months</v>
      </c>
      <c r="X3946">
        <f t="shared" si="123"/>
        <v>182.25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22"/>
        <v>0-12 months</v>
      </c>
      <c r="X3947">
        <f t="shared" si="123"/>
        <v>102.75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22"/>
        <v>0-12 months</v>
      </c>
      <c r="X3948">
        <f t="shared" si="123"/>
        <v>526.5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22"/>
        <v>0-12 months</v>
      </c>
      <c r="X3949">
        <f t="shared" si="123"/>
        <v>279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22"/>
        <v>49+ months</v>
      </c>
      <c r="X3950">
        <f t="shared" si="123"/>
        <v>4978.4000000000005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22"/>
        <v>37-48 months</v>
      </c>
      <c r="X3951">
        <f t="shared" si="123"/>
        <v>1037.7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22"/>
        <v>49+ months</v>
      </c>
      <c r="X3952">
        <f t="shared" si="123"/>
        <v>4713.8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22"/>
        <v>49+ months</v>
      </c>
      <c r="X3953">
        <f t="shared" si="123"/>
        <v>5540.5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22"/>
        <v>49+ months</v>
      </c>
      <c r="X3954">
        <f t="shared" si="123"/>
        <v>7779.5999999999995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22"/>
        <v>0-12 months</v>
      </c>
      <c r="X3955">
        <f t="shared" si="123"/>
        <v>446.40000000000003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22"/>
        <v>37-48 months</v>
      </c>
      <c r="X3956">
        <f t="shared" si="123"/>
        <v>1611.6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22"/>
        <v>37-48 months</v>
      </c>
      <c r="X3957">
        <f t="shared" si="123"/>
        <v>1331.1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22"/>
        <v>0-12 months</v>
      </c>
      <c r="X3958">
        <f t="shared" si="123"/>
        <v>631.79999999999995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22"/>
        <v>49+ months</v>
      </c>
      <c r="X3959">
        <f t="shared" si="123"/>
        <v>6463.7999999999993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22"/>
        <v>37-48 months</v>
      </c>
      <c r="X3960">
        <f t="shared" si="123"/>
        <v>1181.5999999999999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22"/>
        <v>49+ months</v>
      </c>
      <c r="X3961">
        <f t="shared" si="123"/>
        <v>3619.65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22"/>
        <v>0-12 months</v>
      </c>
      <c r="X3962">
        <f t="shared" si="123"/>
        <v>172.64999999999998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22"/>
        <v>0-12 months</v>
      </c>
      <c r="X3963">
        <f t="shared" si="123"/>
        <v>234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22"/>
        <v>0-12 months</v>
      </c>
      <c r="X3964">
        <f t="shared" si="123"/>
        <v>591.85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22"/>
        <v>49+ months</v>
      </c>
      <c r="X3965">
        <f t="shared" si="123"/>
        <v>1332.8000000000002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22"/>
        <v>49+ months</v>
      </c>
      <c r="X3966">
        <f t="shared" si="123"/>
        <v>7599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22"/>
        <v>49+ months</v>
      </c>
      <c r="X3967">
        <f t="shared" si="123"/>
        <v>5538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22"/>
        <v>49+ months</v>
      </c>
      <c r="X3968">
        <f t="shared" si="123"/>
        <v>7754.4000000000005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22"/>
        <v>37-48 months</v>
      </c>
      <c r="X3969">
        <f t="shared" si="123"/>
        <v>617.6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122"/>
        <v>49+ months</v>
      </c>
      <c r="X3970">
        <f t="shared" si="123"/>
        <v>1443.6000000000001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124">IF(F3971&lt;=12,"0-12 months",
IF(A3971&lt;=24,"13-24 months",
IF(A3971&lt;=36,"25-36 months",
IF(F3971&lt;=48,"37-48 months","49+ months"))))</f>
        <v>0-12 months</v>
      </c>
      <c r="X3971">
        <f t="shared" ref="X3971:X4034" si="125">S3971 * F3971</f>
        <v>69.95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24"/>
        <v>37-48 months</v>
      </c>
      <c r="X3972">
        <f t="shared" si="125"/>
        <v>2675.4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24"/>
        <v>37-48 months</v>
      </c>
      <c r="X3973">
        <f t="shared" si="125"/>
        <v>618.75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24"/>
        <v>37-48 months</v>
      </c>
      <c r="X3974">
        <f t="shared" si="125"/>
        <v>2290.5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24"/>
        <v>37-48 months</v>
      </c>
      <c r="X3975">
        <f t="shared" si="125"/>
        <v>2597.1999999999998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24"/>
        <v>37-48 months</v>
      </c>
      <c r="X3976">
        <f t="shared" si="125"/>
        <v>2932.25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24"/>
        <v>37-48 months</v>
      </c>
      <c r="X3977">
        <f t="shared" si="125"/>
        <v>1716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24"/>
        <v>0-12 months</v>
      </c>
      <c r="X3978">
        <f t="shared" si="125"/>
        <v>97.8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24"/>
        <v>49+ months</v>
      </c>
      <c r="X3979">
        <f t="shared" si="125"/>
        <v>6936.2999999999993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24"/>
        <v>0-12 months</v>
      </c>
      <c r="X3980">
        <f t="shared" si="125"/>
        <v>272.10000000000002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24"/>
        <v>49+ months</v>
      </c>
      <c r="X3981">
        <f t="shared" si="125"/>
        <v>1669.8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24"/>
        <v>37-48 months</v>
      </c>
      <c r="X3982">
        <f t="shared" si="125"/>
        <v>2959.6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24"/>
        <v>0-12 months</v>
      </c>
      <c r="X3983">
        <f t="shared" si="125"/>
        <v>681.6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24"/>
        <v>49+ months</v>
      </c>
      <c r="X3984">
        <f t="shared" si="125"/>
        <v>1728.8500000000001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24"/>
        <v>0-12 months</v>
      </c>
      <c r="X3985">
        <f t="shared" si="125"/>
        <v>24.25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24"/>
        <v>49+ months</v>
      </c>
      <c r="X3986">
        <f t="shared" si="125"/>
        <v>1807.2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24"/>
        <v>37-48 months</v>
      </c>
      <c r="X3987">
        <f t="shared" si="125"/>
        <v>872.8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24"/>
        <v>49+ months</v>
      </c>
      <c r="X3988">
        <f t="shared" si="125"/>
        <v>6375.5999999999995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24"/>
        <v>0-12 months</v>
      </c>
      <c r="X3989">
        <f t="shared" si="125"/>
        <v>841.5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24"/>
        <v>49+ months</v>
      </c>
      <c r="X3990">
        <f t="shared" si="125"/>
        <v>4138.6500000000005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24"/>
        <v>0-12 months</v>
      </c>
      <c r="X3991">
        <f t="shared" si="125"/>
        <v>308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24"/>
        <v>37-48 months</v>
      </c>
      <c r="X3992">
        <f t="shared" si="125"/>
        <v>1300.6000000000001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24"/>
        <v>0-12 months</v>
      </c>
      <c r="X3993">
        <f t="shared" si="125"/>
        <v>374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24"/>
        <v>49+ months</v>
      </c>
      <c r="X3994">
        <f t="shared" si="125"/>
        <v>5929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24"/>
        <v>49+ months</v>
      </c>
      <c r="X3995">
        <f t="shared" si="125"/>
        <v>4620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24"/>
        <v>49+ months</v>
      </c>
      <c r="X3996">
        <f t="shared" si="125"/>
        <v>5481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24"/>
        <v>37-48 months</v>
      </c>
      <c r="X3997">
        <f t="shared" si="125"/>
        <v>2097.2000000000003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24"/>
        <v>37-48 months</v>
      </c>
      <c r="X3998">
        <f t="shared" si="125"/>
        <v>498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24"/>
        <v>49+ months</v>
      </c>
      <c r="X3999">
        <f t="shared" si="125"/>
        <v>4240.05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24"/>
        <v>37-48 months</v>
      </c>
      <c r="X4000">
        <f t="shared" si="125"/>
        <v>2289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24"/>
        <v>0-12 months</v>
      </c>
      <c r="X4001">
        <f t="shared" si="125"/>
        <v>139.19999999999999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24"/>
        <v>37-48 months</v>
      </c>
      <c r="X4002">
        <f t="shared" si="125"/>
        <v>3890.25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24"/>
        <v>37-48 months</v>
      </c>
      <c r="X4003">
        <f t="shared" si="125"/>
        <v>4938.75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24"/>
        <v>49+ months</v>
      </c>
      <c r="X4004">
        <f t="shared" si="125"/>
        <v>5821.2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24"/>
        <v>37-48 months</v>
      </c>
      <c r="X4005">
        <f t="shared" si="125"/>
        <v>771.4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24"/>
        <v>49+ months</v>
      </c>
      <c r="X4006">
        <f t="shared" si="125"/>
        <v>4881.5999999999995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24"/>
        <v>0-12 months</v>
      </c>
      <c r="X4007">
        <f t="shared" si="125"/>
        <v>24.05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24"/>
        <v>49+ months</v>
      </c>
      <c r="X4008">
        <f t="shared" si="125"/>
        <v>1425.6000000000001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24"/>
        <v>49+ months</v>
      </c>
      <c r="X4009">
        <f t="shared" si="125"/>
        <v>1413.5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24"/>
        <v>49+ months</v>
      </c>
      <c r="X4010">
        <f t="shared" si="125"/>
        <v>2863.65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24"/>
        <v>49+ months</v>
      </c>
      <c r="X4011">
        <f t="shared" si="125"/>
        <v>5462.1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24"/>
        <v>0-12 months</v>
      </c>
      <c r="X4012">
        <f t="shared" si="125"/>
        <v>20.399999999999999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24"/>
        <v>37-48 months</v>
      </c>
      <c r="X4013">
        <f t="shared" si="125"/>
        <v>451.95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24"/>
        <v>0-12 months</v>
      </c>
      <c r="X4014">
        <f t="shared" si="125"/>
        <v>50.55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24"/>
        <v>0-12 months</v>
      </c>
      <c r="X4015">
        <f t="shared" si="125"/>
        <v>108.7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24"/>
        <v>49+ months</v>
      </c>
      <c r="X4016">
        <f t="shared" si="125"/>
        <v>5621.2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24"/>
        <v>37-48 months</v>
      </c>
      <c r="X4017">
        <f t="shared" si="125"/>
        <v>1960.2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24"/>
        <v>0-12 months</v>
      </c>
      <c r="X4018">
        <f t="shared" si="125"/>
        <v>45.35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24"/>
        <v>37-48 months</v>
      </c>
      <c r="X4019">
        <f t="shared" si="125"/>
        <v>1652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24"/>
        <v>0-12 months</v>
      </c>
      <c r="X4020">
        <f t="shared" si="125"/>
        <v>486.15000000000003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24"/>
        <v>37-48 months</v>
      </c>
      <c r="X4021">
        <f t="shared" si="125"/>
        <v>1407.7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24"/>
        <v>49+ months</v>
      </c>
      <c r="X4022">
        <f t="shared" si="125"/>
        <v>4676.4000000000005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24"/>
        <v>0-12 months</v>
      </c>
      <c r="X4023">
        <f t="shared" si="125"/>
        <v>20.5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24"/>
        <v>0-12 months</v>
      </c>
      <c r="X4024">
        <f t="shared" si="125"/>
        <v>188.5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24"/>
        <v>37-48 months</v>
      </c>
      <c r="X4025">
        <f t="shared" si="125"/>
        <v>831.6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24"/>
        <v>0-12 months</v>
      </c>
      <c r="X4026">
        <f t="shared" si="125"/>
        <v>175.35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24"/>
        <v>0-12 months</v>
      </c>
      <c r="X4027">
        <f t="shared" si="125"/>
        <v>299.2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24"/>
        <v>49+ months</v>
      </c>
      <c r="X4028">
        <f t="shared" si="125"/>
        <v>8229.6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24"/>
        <v>37-48 months</v>
      </c>
      <c r="X4029">
        <f t="shared" si="125"/>
        <v>489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24"/>
        <v>49+ months</v>
      </c>
      <c r="X4030">
        <f t="shared" si="125"/>
        <v>6879.6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24"/>
        <v>49+ months</v>
      </c>
      <c r="X4031">
        <f t="shared" si="125"/>
        <v>2522.7999999999997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24"/>
        <v>0-12 months</v>
      </c>
      <c r="X4032">
        <f t="shared" si="125"/>
        <v>255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24"/>
        <v>49+ months</v>
      </c>
      <c r="X4033">
        <f t="shared" si="125"/>
        <v>7952.4000000000005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124"/>
        <v>49+ months</v>
      </c>
      <c r="X4034">
        <f t="shared" si="125"/>
        <v>5756.2000000000007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126">IF(F4035&lt;=12,"0-12 months",
IF(A4035&lt;=24,"13-24 months",
IF(A4035&lt;=36,"25-36 months",
IF(F4035&lt;=48,"37-48 months","49+ months"))))</f>
        <v>49+ months</v>
      </c>
      <c r="X4035">
        <f t="shared" ref="X4035:X4098" si="127">S4035 * F4035</f>
        <v>4023.35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26"/>
        <v>0-12 months</v>
      </c>
      <c r="X4036">
        <f t="shared" si="127"/>
        <v>357.2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26"/>
        <v>49+ months</v>
      </c>
      <c r="X4037">
        <f t="shared" si="127"/>
        <v>4849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26"/>
        <v>37-48 months</v>
      </c>
      <c r="X4038">
        <f t="shared" si="127"/>
        <v>364.5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26"/>
        <v>49+ months</v>
      </c>
      <c r="X4039">
        <f t="shared" si="127"/>
        <v>1501.55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26"/>
        <v>49+ months</v>
      </c>
      <c r="X4040">
        <f t="shared" si="127"/>
        <v>1236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26"/>
        <v>0-12 months</v>
      </c>
      <c r="X4041">
        <f t="shared" si="127"/>
        <v>658.69999999999993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26"/>
        <v>49+ months</v>
      </c>
      <c r="X4042">
        <f t="shared" si="127"/>
        <v>2053.1999999999998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26"/>
        <v>37-48 months</v>
      </c>
      <c r="X4043">
        <f t="shared" si="127"/>
        <v>2794.5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26"/>
        <v>0-12 months</v>
      </c>
      <c r="X4044">
        <f t="shared" si="127"/>
        <v>256.75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26"/>
        <v>49+ months</v>
      </c>
      <c r="X4045">
        <f t="shared" si="127"/>
        <v>3778.95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26"/>
        <v>49+ months</v>
      </c>
      <c r="X4046">
        <f t="shared" si="127"/>
        <v>5936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26"/>
        <v>37-48 months</v>
      </c>
      <c r="X4047">
        <f t="shared" si="127"/>
        <v>994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26"/>
        <v>37-48 months</v>
      </c>
      <c r="X4048">
        <f t="shared" si="127"/>
        <v>2206.6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26"/>
        <v>49+ months</v>
      </c>
      <c r="X4049">
        <f t="shared" si="127"/>
        <v>6054.4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26"/>
        <v>49+ months</v>
      </c>
      <c r="X4050">
        <f t="shared" si="127"/>
        <v>3465.5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26"/>
        <v>37-48 months</v>
      </c>
      <c r="X4051">
        <f t="shared" si="127"/>
        <v>4611.5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26"/>
        <v>49+ months</v>
      </c>
      <c r="X4052">
        <f t="shared" si="127"/>
        <v>5736.2000000000007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26"/>
        <v>49+ months</v>
      </c>
      <c r="X4053">
        <f t="shared" si="127"/>
        <v>7034.4000000000005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26"/>
        <v>37-48 months</v>
      </c>
      <c r="X4054">
        <f t="shared" si="127"/>
        <v>1209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26"/>
        <v>0-12 months</v>
      </c>
      <c r="X4055">
        <f t="shared" si="127"/>
        <v>662.75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26"/>
        <v>37-48 months</v>
      </c>
      <c r="X4056">
        <f t="shared" si="127"/>
        <v>1912.5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26"/>
        <v>49+ months</v>
      </c>
      <c r="X4057">
        <f t="shared" si="127"/>
        <v>2494.8000000000002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26"/>
        <v>0-12 months</v>
      </c>
      <c r="X4058">
        <f t="shared" si="127"/>
        <v>151.80000000000001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26"/>
        <v>49+ months</v>
      </c>
      <c r="X4059">
        <f t="shared" si="127"/>
        <v>1792.8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26"/>
        <v>37-48 months</v>
      </c>
      <c r="X4060">
        <f t="shared" si="127"/>
        <v>3394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26"/>
        <v>0-12 months</v>
      </c>
      <c r="X4061">
        <f t="shared" si="127"/>
        <v>131.4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26"/>
        <v>49+ months</v>
      </c>
      <c r="X4062">
        <f t="shared" si="127"/>
        <v>3420.9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26"/>
        <v>37-48 months</v>
      </c>
      <c r="X4063">
        <f t="shared" si="127"/>
        <v>701.4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26"/>
        <v>0-12 months</v>
      </c>
      <c r="X4064">
        <f t="shared" si="127"/>
        <v>70.5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26"/>
        <v>0-12 months</v>
      </c>
      <c r="X4065">
        <f t="shared" si="127"/>
        <v>948.5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26"/>
        <v>0-12 months</v>
      </c>
      <c r="X4066">
        <f t="shared" si="127"/>
        <v>50.15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26"/>
        <v>0-12 months</v>
      </c>
      <c r="X4067">
        <f t="shared" si="127"/>
        <v>19.75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26"/>
        <v>49+ months</v>
      </c>
      <c r="X4068">
        <f t="shared" si="127"/>
        <v>3620.4000000000005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26"/>
        <v>49+ months</v>
      </c>
      <c r="X4069">
        <f t="shared" si="127"/>
        <v>5412.7999999999993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26"/>
        <v>37-48 months</v>
      </c>
      <c r="X4070">
        <f t="shared" si="127"/>
        <v>273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26"/>
        <v>49+ months</v>
      </c>
      <c r="X4071">
        <f t="shared" si="127"/>
        <v>6769.4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26"/>
        <v>49+ months</v>
      </c>
      <c r="X4072">
        <f t="shared" si="127"/>
        <v>4070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26"/>
        <v>37-48 months</v>
      </c>
      <c r="X4073">
        <f t="shared" si="127"/>
        <v>622.4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26"/>
        <v>0-12 months</v>
      </c>
      <c r="X4074">
        <f t="shared" si="127"/>
        <v>715.94999999999993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26"/>
        <v>37-48 months</v>
      </c>
      <c r="X4075">
        <f t="shared" si="127"/>
        <v>916.30000000000007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26"/>
        <v>49+ months</v>
      </c>
      <c r="X4076">
        <f t="shared" si="127"/>
        <v>5724.6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26"/>
        <v>49+ months</v>
      </c>
      <c r="X4077">
        <f t="shared" si="127"/>
        <v>2453.8999999999996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26"/>
        <v>49+ months</v>
      </c>
      <c r="X4078">
        <f t="shared" si="127"/>
        <v>6954.5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26"/>
        <v>37-48 months</v>
      </c>
      <c r="X4079">
        <f t="shared" si="127"/>
        <v>1341.2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26"/>
        <v>37-48 months</v>
      </c>
      <c r="X4080">
        <f t="shared" si="127"/>
        <v>1485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26"/>
        <v>0-12 months</v>
      </c>
      <c r="X4081">
        <f t="shared" si="127"/>
        <v>781.5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26"/>
        <v>37-48 months</v>
      </c>
      <c r="X4082">
        <f t="shared" si="127"/>
        <v>756.90000000000009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26"/>
        <v>0-12 months</v>
      </c>
      <c r="X4083">
        <f t="shared" si="127"/>
        <v>69.599999999999994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26"/>
        <v>49+ months</v>
      </c>
      <c r="X4084">
        <f t="shared" si="127"/>
        <v>4133.1499999999996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26"/>
        <v>49+ months</v>
      </c>
      <c r="X4085">
        <f t="shared" si="127"/>
        <v>6813.6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26"/>
        <v>0-12 months</v>
      </c>
      <c r="X4086">
        <f t="shared" si="127"/>
        <v>78.05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26"/>
        <v>37-48 months</v>
      </c>
      <c r="X4087">
        <f t="shared" si="127"/>
        <v>1210.5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26"/>
        <v>49+ months</v>
      </c>
      <c r="X4088">
        <f t="shared" si="127"/>
        <v>5702.4000000000005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26"/>
        <v>0-12 months</v>
      </c>
      <c r="X4089">
        <f t="shared" si="127"/>
        <v>209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26"/>
        <v>0-12 months</v>
      </c>
      <c r="X4090">
        <f t="shared" si="127"/>
        <v>515.19999999999993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26"/>
        <v>0-12 months</v>
      </c>
      <c r="X4091">
        <f t="shared" si="127"/>
        <v>672.75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26"/>
        <v>0-12 months</v>
      </c>
      <c r="X4092">
        <f t="shared" si="127"/>
        <v>49.9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26"/>
        <v>37-48 months</v>
      </c>
      <c r="X4093">
        <f t="shared" si="127"/>
        <v>1378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26"/>
        <v>0-12 months</v>
      </c>
      <c r="X4094">
        <f t="shared" si="127"/>
        <v>20.25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26"/>
        <v>37-48 months</v>
      </c>
      <c r="X4095">
        <f t="shared" si="127"/>
        <v>2204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26"/>
        <v>0-12 months</v>
      </c>
      <c r="X4096">
        <f t="shared" si="127"/>
        <v>74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26"/>
        <v>0-12 months</v>
      </c>
      <c r="X4097">
        <f t="shared" si="127"/>
        <v>246.89999999999998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126"/>
        <v>37-48 months</v>
      </c>
      <c r="X4098">
        <f t="shared" si="127"/>
        <v>1788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128">IF(F4099&lt;=12,"0-12 months",
IF(A4099&lt;=24,"13-24 months",
IF(A4099&lt;=36,"25-36 months",
IF(F4099&lt;=48,"37-48 months","49+ months"))))</f>
        <v>49+ months</v>
      </c>
      <c r="X4099">
        <f t="shared" ref="X4099:X4162" si="129">S4099 * F4099</f>
        <v>6345.6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28"/>
        <v>0-12 months</v>
      </c>
      <c r="X4100">
        <f t="shared" si="129"/>
        <v>20.2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28"/>
        <v>0-12 months</v>
      </c>
      <c r="X4101">
        <f t="shared" si="129"/>
        <v>176.7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28"/>
        <v>49+ months</v>
      </c>
      <c r="X4102">
        <f t="shared" si="129"/>
        <v>990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28"/>
        <v>0-12 months</v>
      </c>
      <c r="X4103">
        <f t="shared" si="129"/>
        <v>354.9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28"/>
        <v>0-12 months</v>
      </c>
      <c r="X4104">
        <f t="shared" si="129"/>
        <v>313.25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28"/>
        <v>49+ months</v>
      </c>
      <c r="X4105">
        <f t="shared" si="129"/>
        <v>6537.5999999999995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28"/>
        <v>0-12 months</v>
      </c>
      <c r="X4106">
        <f t="shared" si="129"/>
        <v>396.4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28"/>
        <v>49+ months</v>
      </c>
      <c r="X4107">
        <f t="shared" si="129"/>
        <v>7148.9000000000005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28"/>
        <v>37-48 months</v>
      </c>
      <c r="X4108">
        <f t="shared" si="129"/>
        <v>2245.1999999999998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28"/>
        <v>49+ months</v>
      </c>
      <c r="X4109">
        <f t="shared" si="129"/>
        <v>6800.4000000000005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28"/>
        <v>37-48 months</v>
      </c>
      <c r="X4110">
        <f t="shared" si="129"/>
        <v>641.85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28"/>
        <v>0-12 months</v>
      </c>
      <c r="X4111">
        <f t="shared" si="129"/>
        <v>50.1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28"/>
        <v>49+ months</v>
      </c>
      <c r="X4112">
        <f t="shared" si="129"/>
        <v>4756.5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28"/>
        <v>37-48 months</v>
      </c>
      <c r="X4113">
        <f t="shared" si="129"/>
        <v>1435.5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28"/>
        <v>49+ months</v>
      </c>
      <c r="X4114">
        <f t="shared" si="129"/>
        <v>5867.55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28"/>
        <v>37-48 months</v>
      </c>
      <c r="X4115">
        <f t="shared" si="129"/>
        <v>732.6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28"/>
        <v>49+ months</v>
      </c>
      <c r="X4116">
        <f t="shared" si="129"/>
        <v>1017.4499999999999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28"/>
        <v>49+ months</v>
      </c>
      <c r="X4117">
        <f t="shared" si="129"/>
        <v>4102.2000000000007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28"/>
        <v>37-48 months</v>
      </c>
      <c r="X4118">
        <f t="shared" si="129"/>
        <v>394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28"/>
        <v>49+ months</v>
      </c>
      <c r="X4119">
        <f t="shared" si="129"/>
        <v>6281.1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28"/>
        <v>37-48 months</v>
      </c>
      <c r="X4120">
        <f t="shared" si="129"/>
        <v>2992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28"/>
        <v>37-48 months</v>
      </c>
      <c r="X4121">
        <f t="shared" si="129"/>
        <v>670.25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28"/>
        <v>37-48 months</v>
      </c>
      <c r="X4122">
        <f t="shared" si="129"/>
        <v>2052.7000000000003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28"/>
        <v>37-48 months</v>
      </c>
      <c r="X4123">
        <f t="shared" si="129"/>
        <v>2579.85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28"/>
        <v>49+ months</v>
      </c>
      <c r="X4124">
        <f t="shared" si="129"/>
        <v>3331.05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28"/>
        <v>37-48 months</v>
      </c>
      <c r="X4125">
        <f t="shared" si="129"/>
        <v>2432.6999999999998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28"/>
        <v>37-48 months</v>
      </c>
      <c r="X4126">
        <f t="shared" si="129"/>
        <v>1804.05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28"/>
        <v>37-48 months</v>
      </c>
      <c r="X4127">
        <f t="shared" si="129"/>
        <v>3702.2999999999997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28"/>
        <v>0-12 months</v>
      </c>
      <c r="X4128">
        <f t="shared" si="129"/>
        <v>117.30000000000001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28"/>
        <v>49+ months</v>
      </c>
      <c r="X4129">
        <f t="shared" si="129"/>
        <v>1388.8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28"/>
        <v>49+ months</v>
      </c>
      <c r="X4130">
        <f t="shared" si="129"/>
        <v>2240.1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28"/>
        <v>37-48 months</v>
      </c>
      <c r="X4131">
        <f t="shared" si="129"/>
        <v>2857.7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28"/>
        <v>0-12 months</v>
      </c>
      <c r="X4132">
        <f t="shared" si="129"/>
        <v>362.5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28"/>
        <v>0-12 months</v>
      </c>
      <c r="X4133">
        <f t="shared" si="129"/>
        <v>20.25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28"/>
        <v>37-48 months</v>
      </c>
      <c r="X4134">
        <f t="shared" si="129"/>
        <v>310.7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28"/>
        <v>49+ months</v>
      </c>
      <c r="X4135">
        <f t="shared" si="129"/>
        <v>5521.5999999999995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28"/>
        <v>49+ months</v>
      </c>
      <c r="X4136">
        <f t="shared" si="129"/>
        <v>5700.75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28"/>
        <v>37-48 months</v>
      </c>
      <c r="X4137">
        <f t="shared" si="129"/>
        <v>3344.4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28"/>
        <v>37-48 months</v>
      </c>
      <c r="X4138">
        <f t="shared" si="129"/>
        <v>935.3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28"/>
        <v>0-12 months</v>
      </c>
      <c r="X4139">
        <f t="shared" si="129"/>
        <v>241.20000000000002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28"/>
        <v>0-12 months</v>
      </c>
      <c r="X4140">
        <f t="shared" si="129"/>
        <v>85.45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28"/>
        <v>37-48 months</v>
      </c>
      <c r="X4141">
        <f t="shared" si="129"/>
        <v>1932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28"/>
        <v>49+ months</v>
      </c>
      <c r="X4142">
        <f t="shared" si="129"/>
        <v>6293.7000000000007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28"/>
        <v>37-48 months</v>
      </c>
      <c r="X4143">
        <f t="shared" si="129"/>
        <v>1394.75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28"/>
        <v>49+ months</v>
      </c>
      <c r="X4144">
        <f t="shared" si="129"/>
        <v>4053.5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28"/>
        <v>37-48 months</v>
      </c>
      <c r="X4145">
        <f t="shared" si="129"/>
        <v>2120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28"/>
        <v>37-48 months</v>
      </c>
      <c r="X4146">
        <f t="shared" si="129"/>
        <v>2180.85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28"/>
        <v>37-48 months</v>
      </c>
      <c r="X4147">
        <f t="shared" si="129"/>
        <v>881.4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28"/>
        <v>37-48 months</v>
      </c>
      <c r="X4148">
        <f t="shared" si="129"/>
        <v>2632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28"/>
        <v>49+ months</v>
      </c>
      <c r="X4149">
        <f t="shared" si="129"/>
        <v>1764.3500000000001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28"/>
        <v>37-48 months</v>
      </c>
      <c r="X4150">
        <f t="shared" si="129"/>
        <v>561.15000000000009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28"/>
        <v>49+ months</v>
      </c>
      <c r="X4151">
        <f t="shared" si="129"/>
        <v>3503.85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28"/>
        <v>0-12 months</v>
      </c>
      <c r="X4152">
        <f t="shared" si="129"/>
        <v>623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28"/>
        <v>49+ months</v>
      </c>
      <c r="X4153">
        <f t="shared" si="129"/>
        <v>3135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28"/>
        <v>49+ months</v>
      </c>
      <c r="X4154">
        <f t="shared" si="129"/>
        <v>4949.75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28"/>
        <v>37-48 months</v>
      </c>
      <c r="X4155">
        <f t="shared" si="129"/>
        <v>548.1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28"/>
        <v>0-12 months</v>
      </c>
      <c r="X4156">
        <f t="shared" si="129"/>
        <v>449.40000000000003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28"/>
        <v>49+ months</v>
      </c>
      <c r="X4157">
        <f t="shared" si="129"/>
        <v>8449.1999999999989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28"/>
        <v>0-12 months</v>
      </c>
      <c r="X4158">
        <f t="shared" si="129"/>
        <v>19.75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28"/>
        <v>0-12 months</v>
      </c>
      <c r="X4159">
        <f t="shared" si="129"/>
        <v>497.20000000000005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28"/>
        <v>37-48 months</v>
      </c>
      <c r="X4160">
        <f t="shared" si="129"/>
        <v>982.8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28"/>
        <v>49+ months</v>
      </c>
      <c r="X4161">
        <f t="shared" si="129"/>
        <v>5295.25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128"/>
        <v>37-48 months</v>
      </c>
      <c r="X4162">
        <f t="shared" si="129"/>
        <v>1950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130">IF(F4163&lt;=12,"0-12 months",
IF(A4163&lt;=24,"13-24 months",
IF(A4163&lt;=36,"25-36 months",
IF(F4163&lt;=48,"37-48 months","49+ months"))))</f>
        <v>0-12 months</v>
      </c>
      <c r="X4163">
        <f t="shared" ref="X4163:X4226" si="131">S4163 * F4163</f>
        <v>99.9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30"/>
        <v>49+ months</v>
      </c>
      <c r="X4164">
        <f t="shared" si="131"/>
        <v>4730.4000000000005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30"/>
        <v>49+ months</v>
      </c>
      <c r="X4165">
        <f t="shared" si="131"/>
        <v>4358.25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30"/>
        <v>49+ months</v>
      </c>
      <c r="X4166">
        <f t="shared" si="131"/>
        <v>7984.8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30"/>
        <v>0-12 months</v>
      </c>
      <c r="X4167">
        <f t="shared" si="131"/>
        <v>527.70000000000005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30"/>
        <v>37-48 months</v>
      </c>
      <c r="X4168">
        <f t="shared" si="131"/>
        <v>633.6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30"/>
        <v>49+ months</v>
      </c>
      <c r="X4169">
        <f t="shared" si="131"/>
        <v>3785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30"/>
        <v>49+ months</v>
      </c>
      <c r="X4170">
        <f t="shared" si="131"/>
        <v>3791.15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30"/>
        <v>37-48 months</v>
      </c>
      <c r="X4171">
        <f t="shared" si="131"/>
        <v>1518.75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30"/>
        <v>49+ months</v>
      </c>
      <c r="X4172">
        <f t="shared" si="131"/>
        <v>8290.8000000000011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30"/>
        <v>0-12 months</v>
      </c>
      <c r="X4173">
        <f t="shared" si="131"/>
        <v>170.54999999999998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30"/>
        <v>0-12 months</v>
      </c>
      <c r="X4174">
        <f t="shared" si="131"/>
        <v>19.5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30"/>
        <v>0-12 months</v>
      </c>
      <c r="X4175">
        <f t="shared" si="131"/>
        <v>1038.5999999999999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30"/>
        <v>37-48 months</v>
      </c>
      <c r="X4176">
        <f t="shared" si="131"/>
        <v>1058.2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30"/>
        <v>49+ months</v>
      </c>
      <c r="X4177">
        <f t="shared" si="131"/>
        <v>1244.3999999999999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30"/>
        <v>37-48 months</v>
      </c>
      <c r="X4178">
        <f t="shared" si="131"/>
        <v>356.40000000000003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30"/>
        <v>37-48 months</v>
      </c>
      <c r="X4179">
        <f t="shared" si="131"/>
        <v>958.65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30"/>
        <v>49+ months</v>
      </c>
      <c r="X4180">
        <f t="shared" si="131"/>
        <v>3835.2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30"/>
        <v>0-12 months</v>
      </c>
      <c r="X4181">
        <f t="shared" si="131"/>
        <v>879.59999999999991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30"/>
        <v>0-12 months</v>
      </c>
      <c r="X4182">
        <f t="shared" si="131"/>
        <v>48.7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30"/>
        <v>49+ months</v>
      </c>
      <c r="X4183">
        <f t="shared" si="131"/>
        <v>6283.7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30"/>
        <v>37-48 months</v>
      </c>
      <c r="X4184">
        <f t="shared" si="131"/>
        <v>2860.8500000000004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30"/>
        <v>0-12 months</v>
      </c>
      <c r="X4185">
        <f t="shared" si="131"/>
        <v>33.6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30"/>
        <v>0-12 months</v>
      </c>
      <c r="X4186">
        <f t="shared" si="131"/>
        <v>399.5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30"/>
        <v>0-12 months</v>
      </c>
      <c r="X4187">
        <f t="shared" si="131"/>
        <v>20.7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30"/>
        <v>49+ months</v>
      </c>
      <c r="X4188">
        <f t="shared" si="131"/>
        <v>6451.0999999999995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30"/>
        <v>37-48 months</v>
      </c>
      <c r="X4189">
        <f t="shared" si="131"/>
        <v>729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30"/>
        <v>37-48 months</v>
      </c>
      <c r="X4190">
        <f t="shared" si="131"/>
        <v>2892.4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30"/>
        <v>49+ months</v>
      </c>
      <c r="X4191">
        <f t="shared" si="131"/>
        <v>5085.3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30"/>
        <v>0-12 months</v>
      </c>
      <c r="X4192">
        <f t="shared" si="131"/>
        <v>1058.2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30"/>
        <v>49+ months</v>
      </c>
      <c r="X4193">
        <f t="shared" si="131"/>
        <v>6851.25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30"/>
        <v>37-48 months</v>
      </c>
      <c r="X4194">
        <f t="shared" si="131"/>
        <v>463.45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30"/>
        <v>0-12 months</v>
      </c>
      <c r="X4195">
        <f t="shared" si="131"/>
        <v>197.5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30"/>
        <v>49+ months</v>
      </c>
      <c r="X4196">
        <f t="shared" si="131"/>
        <v>1842.45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30"/>
        <v>37-48 months</v>
      </c>
      <c r="X4197">
        <f t="shared" si="131"/>
        <v>3152.25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30"/>
        <v>49+ months</v>
      </c>
      <c r="X4198">
        <f t="shared" si="131"/>
        <v>1683.5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30"/>
        <v>37-48 months</v>
      </c>
      <c r="X4199">
        <f t="shared" si="131"/>
        <v>1864.5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30"/>
        <v>49+ months</v>
      </c>
      <c r="X4200">
        <f t="shared" si="131"/>
        <v>1198.6000000000001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30"/>
        <v>49+ months</v>
      </c>
      <c r="X4201">
        <f t="shared" si="131"/>
        <v>5728.25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30"/>
        <v>49+ months</v>
      </c>
      <c r="X4202">
        <f t="shared" si="131"/>
        <v>3896.75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30"/>
        <v>49+ months</v>
      </c>
      <c r="X4203">
        <f t="shared" si="131"/>
        <v>1407.6000000000001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30"/>
        <v>0-12 months</v>
      </c>
      <c r="X4204">
        <f t="shared" si="131"/>
        <v>196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30"/>
        <v>0-12 months</v>
      </c>
      <c r="X4205">
        <f t="shared" si="131"/>
        <v>140.35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30"/>
        <v>0-12 months</v>
      </c>
      <c r="X4206">
        <f t="shared" si="131"/>
        <v>427.75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30"/>
        <v>37-48 months</v>
      </c>
      <c r="X4207">
        <f t="shared" si="131"/>
        <v>1886.3999999999999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30"/>
        <v>49+ months</v>
      </c>
      <c r="X4208">
        <f t="shared" si="131"/>
        <v>8409.6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30"/>
        <v>37-48 months</v>
      </c>
      <c r="X4209">
        <f t="shared" si="131"/>
        <v>914.55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30"/>
        <v>49+ months</v>
      </c>
      <c r="X4210">
        <f t="shared" si="131"/>
        <v>4195.2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30"/>
        <v>37-48 months</v>
      </c>
      <c r="X4211">
        <f t="shared" si="131"/>
        <v>2415.6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30"/>
        <v>49+ months</v>
      </c>
      <c r="X4212">
        <f t="shared" si="131"/>
        <v>3977.2000000000003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30"/>
        <v>37-48 months</v>
      </c>
      <c r="X4213">
        <f t="shared" si="131"/>
        <v>2470.8000000000002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30"/>
        <v>0-12 months</v>
      </c>
      <c r="X4214">
        <f t="shared" si="131"/>
        <v>90.6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30"/>
        <v>0-12 months</v>
      </c>
      <c r="X4215">
        <f t="shared" si="131"/>
        <v>304.79999999999995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30"/>
        <v>0-12 months</v>
      </c>
      <c r="X4216">
        <f t="shared" si="131"/>
        <v>360.2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30"/>
        <v>49+ months</v>
      </c>
      <c r="X4217">
        <f t="shared" si="131"/>
        <v>7790.4000000000005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30"/>
        <v>49+ months</v>
      </c>
      <c r="X4218">
        <f t="shared" si="131"/>
        <v>6624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30"/>
        <v>37-48 months</v>
      </c>
      <c r="X4219">
        <f t="shared" si="131"/>
        <v>1051.3999999999999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30"/>
        <v>0-12 months</v>
      </c>
      <c r="X4220">
        <f t="shared" si="131"/>
        <v>175.35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30"/>
        <v>37-48 months</v>
      </c>
      <c r="X4221">
        <f t="shared" si="131"/>
        <v>3607.2000000000003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30"/>
        <v>49+ months</v>
      </c>
      <c r="X4222">
        <f t="shared" si="131"/>
        <v>1072.5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30"/>
        <v>0-12 months</v>
      </c>
      <c r="X4223">
        <f t="shared" si="131"/>
        <v>19.3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30"/>
        <v>37-48 months</v>
      </c>
      <c r="X4224">
        <f t="shared" si="131"/>
        <v>5049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30"/>
        <v>0-12 months</v>
      </c>
      <c r="X4225">
        <f t="shared" si="131"/>
        <v>210.89999999999998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130"/>
        <v>49+ months</v>
      </c>
      <c r="X4226">
        <f t="shared" si="131"/>
        <v>1391.6000000000001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132">IF(F4227&lt;=12,"0-12 months",
IF(A4227&lt;=24,"13-24 months",
IF(A4227&lt;=36,"25-36 months",
IF(F4227&lt;=48,"37-48 months","49+ months"))))</f>
        <v>0-12 months</v>
      </c>
      <c r="X4227">
        <f t="shared" ref="X4227:X4290" si="133">S4227 * F4227</f>
        <v>162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32"/>
        <v>0-12 months</v>
      </c>
      <c r="X4228">
        <f t="shared" si="133"/>
        <v>227.54999999999998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32"/>
        <v>49+ months</v>
      </c>
      <c r="X4229">
        <f t="shared" si="133"/>
        <v>5564.85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32"/>
        <v>0-12 months</v>
      </c>
      <c r="X4230">
        <f t="shared" si="133"/>
        <v>68.5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32"/>
        <v>49+ months</v>
      </c>
      <c r="X4231">
        <f t="shared" si="133"/>
        <v>8334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32"/>
        <v>0-12 months</v>
      </c>
      <c r="X4232">
        <f t="shared" si="133"/>
        <v>808.5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32"/>
        <v>49+ months</v>
      </c>
      <c r="X4233">
        <f t="shared" si="133"/>
        <v>5722.5999999999995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32"/>
        <v>0-12 months</v>
      </c>
      <c r="X4234">
        <f t="shared" si="133"/>
        <v>69.95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32"/>
        <v>37-48 months</v>
      </c>
      <c r="X4235">
        <f t="shared" si="133"/>
        <v>1965.1499999999999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32"/>
        <v>37-48 months</v>
      </c>
      <c r="X4236">
        <f t="shared" si="133"/>
        <v>304.8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32"/>
        <v>49+ months</v>
      </c>
      <c r="X4237">
        <f t="shared" si="133"/>
        <v>5356.4000000000005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32"/>
        <v>0-12 months</v>
      </c>
      <c r="X4238">
        <f t="shared" si="133"/>
        <v>19.95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32"/>
        <v>0-12 months</v>
      </c>
      <c r="X4239">
        <f t="shared" si="133"/>
        <v>350.25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32"/>
        <v>49+ months</v>
      </c>
      <c r="X4240">
        <f t="shared" si="133"/>
        <v>1105.8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32"/>
        <v>49+ months</v>
      </c>
      <c r="X4241">
        <f t="shared" si="133"/>
        <v>2021.6000000000001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32"/>
        <v>0-12 months</v>
      </c>
      <c r="X4242">
        <f t="shared" si="133"/>
        <v>752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32"/>
        <v>37-48 months</v>
      </c>
      <c r="X4243">
        <f t="shared" si="133"/>
        <v>1345.3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32"/>
        <v>0-12 months</v>
      </c>
      <c r="X4244">
        <f t="shared" si="133"/>
        <v>19.75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32"/>
        <v>37-48 months</v>
      </c>
      <c r="X4245">
        <f t="shared" si="133"/>
        <v>2564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32"/>
        <v>37-48 months</v>
      </c>
      <c r="X4246">
        <f t="shared" si="133"/>
        <v>908.5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32"/>
        <v>49+ months</v>
      </c>
      <c r="X4247">
        <f t="shared" si="133"/>
        <v>1241.0999999999999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32"/>
        <v>49+ months</v>
      </c>
      <c r="X4248">
        <f t="shared" si="133"/>
        <v>7493.6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32"/>
        <v>49+ months</v>
      </c>
      <c r="X4249">
        <f t="shared" si="133"/>
        <v>7338.15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32"/>
        <v>49+ months</v>
      </c>
      <c r="X4250">
        <f t="shared" si="133"/>
        <v>5070.8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32"/>
        <v>0-12 months</v>
      </c>
      <c r="X4251">
        <f t="shared" si="133"/>
        <v>659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32"/>
        <v>49+ months</v>
      </c>
      <c r="X4252">
        <f t="shared" si="133"/>
        <v>6583.5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32"/>
        <v>37-48 months</v>
      </c>
      <c r="X4253">
        <f t="shared" si="133"/>
        <v>1260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32"/>
        <v>37-48 months</v>
      </c>
      <c r="X4254">
        <f t="shared" si="133"/>
        <v>1065.9000000000001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32"/>
        <v>37-48 months</v>
      </c>
      <c r="X4255">
        <f t="shared" si="133"/>
        <v>1952.5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32"/>
        <v>37-48 months</v>
      </c>
      <c r="X4256">
        <f t="shared" si="133"/>
        <v>2449.0500000000002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32"/>
        <v>37-48 months</v>
      </c>
      <c r="X4257">
        <f t="shared" si="133"/>
        <v>978.9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32"/>
        <v>49+ months</v>
      </c>
      <c r="X4258">
        <f t="shared" si="133"/>
        <v>1820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32"/>
        <v>49+ months</v>
      </c>
      <c r="X4259">
        <f t="shared" si="133"/>
        <v>4870.6000000000004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32"/>
        <v>37-48 months</v>
      </c>
      <c r="X4260">
        <f t="shared" si="133"/>
        <v>4710.6499999999996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32"/>
        <v>0-12 months</v>
      </c>
      <c r="X4261">
        <f t="shared" si="133"/>
        <v>58.800000000000004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32"/>
        <v>37-48 months</v>
      </c>
      <c r="X4262">
        <f t="shared" si="133"/>
        <v>3072.3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32"/>
        <v>49+ months</v>
      </c>
      <c r="X4263">
        <f t="shared" si="133"/>
        <v>3115.0499999999997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32"/>
        <v>0-12 months</v>
      </c>
      <c r="X4264">
        <f t="shared" si="133"/>
        <v>132.80000000000001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32"/>
        <v>49+ months</v>
      </c>
      <c r="X4265">
        <f t="shared" si="133"/>
        <v>8319.6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32"/>
        <v>37-48 months</v>
      </c>
      <c r="X4266">
        <f t="shared" si="133"/>
        <v>4804.7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32"/>
        <v>49+ months</v>
      </c>
      <c r="X4267">
        <f t="shared" si="133"/>
        <v>6603.3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32"/>
        <v>49+ months</v>
      </c>
      <c r="X4268">
        <f t="shared" si="133"/>
        <v>6324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32"/>
        <v>49+ months</v>
      </c>
      <c r="X4269">
        <f t="shared" si="133"/>
        <v>6562.8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32"/>
        <v>37-48 months</v>
      </c>
      <c r="X4270">
        <f t="shared" si="133"/>
        <v>3139.5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32"/>
        <v>37-48 months</v>
      </c>
      <c r="X4271">
        <f t="shared" si="133"/>
        <v>1533.4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32"/>
        <v>49+ months</v>
      </c>
      <c r="X4272">
        <f t="shared" si="133"/>
        <v>6652.8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32"/>
        <v>37-48 months</v>
      </c>
      <c r="X4273">
        <f t="shared" si="133"/>
        <v>557.19999999999993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32"/>
        <v>49+ months</v>
      </c>
      <c r="X4274">
        <f t="shared" si="133"/>
        <v>1408.3999999999999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32"/>
        <v>37-48 months</v>
      </c>
      <c r="X4275">
        <f t="shared" si="133"/>
        <v>2475.35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32"/>
        <v>37-48 months</v>
      </c>
      <c r="X4276">
        <f t="shared" si="133"/>
        <v>848.25000000000011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32"/>
        <v>0-12 months</v>
      </c>
      <c r="X4277">
        <f t="shared" si="133"/>
        <v>25.75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32"/>
        <v>0-12 months</v>
      </c>
      <c r="X4278">
        <f t="shared" si="133"/>
        <v>99.2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32"/>
        <v>0-12 months</v>
      </c>
      <c r="X4279">
        <f t="shared" si="133"/>
        <v>125.69999999999999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32"/>
        <v>37-48 months</v>
      </c>
      <c r="X4280">
        <f t="shared" si="133"/>
        <v>4658.3999999999996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32"/>
        <v>37-48 months</v>
      </c>
      <c r="X4281">
        <f t="shared" si="133"/>
        <v>635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32"/>
        <v>49+ months</v>
      </c>
      <c r="X4282">
        <f t="shared" si="133"/>
        <v>1260.8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32"/>
        <v>49+ months</v>
      </c>
      <c r="X4283">
        <f t="shared" si="133"/>
        <v>1750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32"/>
        <v>49+ months</v>
      </c>
      <c r="X4284">
        <f t="shared" si="133"/>
        <v>5265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32"/>
        <v>0-12 months</v>
      </c>
      <c r="X4285">
        <f t="shared" si="133"/>
        <v>280.8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32"/>
        <v>37-48 months</v>
      </c>
      <c r="X4286">
        <f t="shared" si="133"/>
        <v>2910.4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32"/>
        <v>37-48 months</v>
      </c>
      <c r="X4287">
        <f t="shared" si="133"/>
        <v>3323.2499999999995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32"/>
        <v>0-12 months</v>
      </c>
      <c r="X4288">
        <f t="shared" si="133"/>
        <v>792.44999999999993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32"/>
        <v>49+ months</v>
      </c>
      <c r="X4289">
        <f t="shared" si="133"/>
        <v>6992.7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132"/>
        <v>0-12 months</v>
      </c>
      <c r="X4290">
        <f t="shared" si="133"/>
        <v>275.54999999999995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134">IF(F4291&lt;=12,"0-12 months",
IF(A4291&lt;=24,"13-24 months",
IF(A4291&lt;=36,"25-36 months",
IF(F4291&lt;=48,"37-48 months","49+ months"))))</f>
        <v>49+ months</v>
      </c>
      <c r="X4291">
        <f t="shared" ref="X4291:X4354" si="135">S4291 * F4291</f>
        <v>1085.4000000000001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134"/>
        <v>0-12 months</v>
      </c>
      <c r="X4292">
        <f t="shared" si="135"/>
        <v>40.1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134"/>
        <v>49+ months</v>
      </c>
      <c r="X4293">
        <f t="shared" si="135"/>
        <v>7059.2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134"/>
        <v>37-48 months</v>
      </c>
      <c r="X4294">
        <f t="shared" si="135"/>
        <v>2290.9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134"/>
        <v>37-48 months</v>
      </c>
      <c r="X4295">
        <f t="shared" si="135"/>
        <v>1257.2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134"/>
        <v>0-12 months</v>
      </c>
      <c r="X4296">
        <f t="shared" si="135"/>
        <v>1021.8000000000001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134"/>
        <v>49+ months</v>
      </c>
      <c r="X4297">
        <f t="shared" si="135"/>
        <v>4083.65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134"/>
        <v>37-48 months</v>
      </c>
      <c r="X4298">
        <f t="shared" si="135"/>
        <v>2528.75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134"/>
        <v>37-48 months</v>
      </c>
      <c r="X4299">
        <f t="shared" si="135"/>
        <v>3309.75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134"/>
        <v>0-12 months</v>
      </c>
      <c r="X4300">
        <f t="shared" si="135"/>
        <v>460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134"/>
        <v>37-48 months</v>
      </c>
      <c r="X4301">
        <f t="shared" si="135"/>
        <v>1697.9499999999998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134"/>
        <v>37-48 months</v>
      </c>
      <c r="X4302">
        <f t="shared" si="135"/>
        <v>590.40000000000009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134"/>
        <v>49+ months</v>
      </c>
      <c r="X4303">
        <f t="shared" si="135"/>
        <v>1303.5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134"/>
        <v>49+ months</v>
      </c>
      <c r="X4304">
        <f t="shared" si="135"/>
        <v>4403.8499999999995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134"/>
        <v>37-48 months</v>
      </c>
      <c r="X4305">
        <f t="shared" si="135"/>
        <v>1147.5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134"/>
        <v>49+ months</v>
      </c>
      <c r="X4306">
        <f t="shared" si="135"/>
        <v>931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134"/>
        <v>37-48 months</v>
      </c>
      <c r="X4307">
        <f t="shared" si="135"/>
        <v>566.95000000000005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134"/>
        <v>37-48 months</v>
      </c>
      <c r="X4308">
        <f t="shared" si="135"/>
        <v>4404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134"/>
        <v>37-48 months</v>
      </c>
      <c r="X4309">
        <f t="shared" si="135"/>
        <v>3572.35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134"/>
        <v>37-48 months</v>
      </c>
      <c r="X4310">
        <f t="shared" si="135"/>
        <v>1743.75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134"/>
        <v>37-48 months</v>
      </c>
      <c r="X4311">
        <f t="shared" si="135"/>
        <v>1113.2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134"/>
        <v>49+ months</v>
      </c>
      <c r="X4312">
        <f t="shared" si="135"/>
        <v>4723.2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134"/>
        <v>0-12 months</v>
      </c>
      <c r="X4313">
        <f t="shared" si="135"/>
        <v>280.7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134"/>
        <v>37-48 months</v>
      </c>
      <c r="X4314">
        <f t="shared" si="135"/>
        <v>2709.2999999999997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134"/>
        <v>37-48 months</v>
      </c>
      <c r="X4315">
        <f t="shared" si="135"/>
        <v>1819.3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134"/>
        <v>37-48 months</v>
      </c>
      <c r="X4316">
        <f t="shared" si="135"/>
        <v>2430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134"/>
        <v>0-12 months</v>
      </c>
      <c r="X4317">
        <f t="shared" si="135"/>
        <v>79.55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134"/>
        <v>49+ months</v>
      </c>
      <c r="X4318">
        <f t="shared" si="135"/>
        <v>6254.85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134"/>
        <v>0-12 months</v>
      </c>
      <c r="X4319">
        <f t="shared" si="135"/>
        <v>61.650000000000006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134"/>
        <v>49+ months</v>
      </c>
      <c r="X4320">
        <f t="shared" si="135"/>
        <v>4242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134"/>
        <v>49+ months</v>
      </c>
      <c r="X4321">
        <f t="shared" si="135"/>
        <v>7150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134"/>
        <v>49+ months</v>
      </c>
      <c r="X4322">
        <f t="shared" si="135"/>
        <v>1480.3500000000001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134"/>
        <v>37-48 months</v>
      </c>
      <c r="X4323">
        <f t="shared" si="135"/>
        <v>1124.8999999999999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134"/>
        <v>0-12 months</v>
      </c>
      <c r="X4324">
        <f t="shared" si="135"/>
        <v>140.30000000000001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134"/>
        <v>37-48 months</v>
      </c>
      <c r="X4325">
        <f t="shared" si="135"/>
        <v>2689.6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134"/>
        <v>37-48 months</v>
      </c>
      <c r="X4326">
        <f t="shared" si="135"/>
        <v>2698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134"/>
        <v>0-12 months</v>
      </c>
      <c r="X4327">
        <f t="shared" si="135"/>
        <v>20.75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134"/>
        <v>0-12 months</v>
      </c>
      <c r="X4328">
        <f t="shared" si="135"/>
        <v>89.1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134"/>
        <v>0-12 months</v>
      </c>
      <c r="X4329">
        <f t="shared" si="135"/>
        <v>489.30000000000007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134"/>
        <v>37-48 months</v>
      </c>
      <c r="X4330">
        <f t="shared" si="135"/>
        <v>766.5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134"/>
        <v>37-48 months</v>
      </c>
      <c r="X4331">
        <f t="shared" si="135"/>
        <v>1604.8000000000002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134"/>
        <v>37-48 months</v>
      </c>
      <c r="X4332">
        <f t="shared" si="135"/>
        <v>1486.75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134"/>
        <v>49+ months</v>
      </c>
      <c r="X4333">
        <f t="shared" si="135"/>
        <v>1814.05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134"/>
        <v>49+ months</v>
      </c>
      <c r="X4334">
        <f t="shared" si="135"/>
        <v>3240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134"/>
        <v>37-48 months</v>
      </c>
      <c r="X4335">
        <f t="shared" si="135"/>
        <v>2807.0499999999997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134"/>
        <v>0-12 months</v>
      </c>
      <c r="X4336">
        <f t="shared" si="135"/>
        <v>840.40000000000009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134"/>
        <v>37-48 months</v>
      </c>
      <c r="X4337">
        <f t="shared" si="135"/>
        <v>1529.1000000000001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134"/>
        <v>49+ months</v>
      </c>
      <c r="X4338">
        <f t="shared" si="135"/>
        <v>7927.2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134"/>
        <v>49+ months</v>
      </c>
      <c r="X4339">
        <f t="shared" si="135"/>
        <v>7075.1500000000005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134"/>
        <v>0-12 months</v>
      </c>
      <c r="X4340">
        <f t="shared" si="135"/>
        <v>227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134"/>
        <v>37-48 months</v>
      </c>
      <c r="X4341">
        <f t="shared" si="135"/>
        <v>2622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134"/>
        <v>0-12 months</v>
      </c>
      <c r="X4342">
        <f t="shared" si="135"/>
        <v>243.25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134"/>
        <v>0-12 months</v>
      </c>
      <c r="X4343">
        <f t="shared" si="135"/>
        <v>88.3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134"/>
        <v>49+ months</v>
      </c>
      <c r="X4344">
        <f t="shared" si="135"/>
        <v>3112.2000000000003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134"/>
        <v>0-12 months</v>
      </c>
      <c r="X4345">
        <f t="shared" si="135"/>
        <v>606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134"/>
        <v>49+ months</v>
      </c>
      <c r="X4346">
        <f t="shared" si="135"/>
        <v>5484.2000000000007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134"/>
        <v>49+ months</v>
      </c>
      <c r="X4347">
        <f t="shared" si="135"/>
        <v>1417.95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134"/>
        <v>37-48 months</v>
      </c>
      <c r="X4348">
        <f t="shared" si="135"/>
        <v>2788.8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134"/>
        <v>49+ months</v>
      </c>
      <c r="X4349">
        <f t="shared" si="135"/>
        <v>5010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134"/>
        <v>0-12 months</v>
      </c>
      <c r="X4350">
        <f t="shared" si="135"/>
        <v>19.100000000000001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134"/>
        <v>0-12 months</v>
      </c>
      <c r="X4351">
        <f t="shared" si="135"/>
        <v>80.3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134"/>
        <v>37-48 months</v>
      </c>
      <c r="X4352">
        <f t="shared" si="135"/>
        <v>1470.1499999999999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134"/>
        <v>0-12 months</v>
      </c>
      <c r="X4353">
        <f t="shared" si="135"/>
        <v>142.45000000000002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134"/>
        <v>49+ months</v>
      </c>
      <c r="X4354">
        <f t="shared" si="135"/>
        <v>5875.2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136">IF(F4355&lt;=12,"0-12 months",
IF(A4355&lt;=24,"13-24 months",
IF(A4355&lt;=36,"25-36 months",
IF(F4355&lt;=48,"37-48 months","49+ months"))))</f>
        <v>0-12 months</v>
      </c>
      <c r="X4355">
        <f t="shared" ref="X4355:X4418" si="137">S4355 * F4355</f>
        <v>74.900000000000006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136"/>
        <v>49+ months</v>
      </c>
      <c r="X4356">
        <f t="shared" si="137"/>
        <v>1191.8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136"/>
        <v>0-12 months</v>
      </c>
      <c r="X4357">
        <f t="shared" si="137"/>
        <v>302.10000000000002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136"/>
        <v>0-12 months</v>
      </c>
      <c r="X4358">
        <f t="shared" si="137"/>
        <v>56.400000000000006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136"/>
        <v>37-48 months</v>
      </c>
      <c r="X4359">
        <f t="shared" si="137"/>
        <v>306.75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136"/>
        <v>37-48 months</v>
      </c>
      <c r="X4360">
        <f t="shared" si="137"/>
        <v>841.75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136"/>
        <v>37-48 months</v>
      </c>
      <c r="X4361">
        <f t="shared" si="137"/>
        <v>2270.1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136"/>
        <v>37-48 months</v>
      </c>
      <c r="X4362">
        <f t="shared" si="137"/>
        <v>2772.9500000000003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136"/>
        <v>37-48 months</v>
      </c>
      <c r="X4363">
        <f t="shared" si="137"/>
        <v>1703.75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136"/>
        <v>49+ months</v>
      </c>
      <c r="X4364">
        <f t="shared" si="137"/>
        <v>1014.3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136"/>
        <v>49+ months</v>
      </c>
      <c r="X4365">
        <f t="shared" si="137"/>
        <v>4793.5999999999995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136"/>
        <v>49+ months</v>
      </c>
      <c r="X4366">
        <f t="shared" si="137"/>
        <v>5058.8999999999996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136"/>
        <v>49+ months</v>
      </c>
      <c r="X4367">
        <f t="shared" si="137"/>
        <v>5027.3999999999996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136"/>
        <v>37-48 months</v>
      </c>
      <c r="X4368">
        <f t="shared" si="137"/>
        <v>1916.3999999999999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136"/>
        <v>37-48 months</v>
      </c>
      <c r="X4369">
        <f t="shared" si="137"/>
        <v>1947.6000000000001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136"/>
        <v>0-12 months</v>
      </c>
      <c r="X4370">
        <f t="shared" si="137"/>
        <v>727.65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136"/>
        <v>0-12 months</v>
      </c>
      <c r="X4371">
        <f t="shared" si="137"/>
        <v>74.25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136"/>
        <v>37-48 months</v>
      </c>
      <c r="X4372">
        <f t="shared" si="137"/>
        <v>1698.9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136"/>
        <v>37-48 months</v>
      </c>
      <c r="X4373">
        <f t="shared" si="137"/>
        <v>318.5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136"/>
        <v>0-12 months</v>
      </c>
      <c r="X4374">
        <f t="shared" si="137"/>
        <v>20.149999999999999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136"/>
        <v>37-48 months</v>
      </c>
      <c r="X4375">
        <f t="shared" si="137"/>
        <v>501.25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136"/>
        <v>49+ months</v>
      </c>
      <c r="X4376">
        <f t="shared" si="137"/>
        <v>1391.6000000000001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136"/>
        <v>49+ months</v>
      </c>
      <c r="X4377">
        <f t="shared" si="137"/>
        <v>7543.8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136"/>
        <v>37-48 months</v>
      </c>
      <c r="X4378">
        <f t="shared" si="137"/>
        <v>4513.5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136"/>
        <v>37-48 months</v>
      </c>
      <c r="X4379">
        <f t="shared" si="137"/>
        <v>1760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136"/>
        <v>49+ months</v>
      </c>
      <c r="X4380">
        <f t="shared" si="137"/>
        <v>1396.95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136"/>
        <v>49+ months</v>
      </c>
      <c r="X4381">
        <f t="shared" si="137"/>
        <v>6116.6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136"/>
        <v>0-12 months</v>
      </c>
      <c r="X4382">
        <f t="shared" si="137"/>
        <v>0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136"/>
        <v>49+ months</v>
      </c>
      <c r="X4383">
        <f t="shared" si="137"/>
        <v>4451.6499999999996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136"/>
        <v>0-12 months</v>
      </c>
      <c r="X4384">
        <f t="shared" si="137"/>
        <v>195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136"/>
        <v>49+ months</v>
      </c>
      <c r="X4385">
        <f t="shared" si="137"/>
        <v>5040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136"/>
        <v>0-12 months</v>
      </c>
      <c r="X4386">
        <f t="shared" si="137"/>
        <v>159.4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136"/>
        <v>37-48 months</v>
      </c>
      <c r="X4387">
        <f t="shared" si="137"/>
        <v>427.35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136"/>
        <v>49+ months</v>
      </c>
      <c r="X4388">
        <f t="shared" si="137"/>
        <v>3165.25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136"/>
        <v>0-12 months</v>
      </c>
      <c r="X4389">
        <f t="shared" si="137"/>
        <v>20.25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136"/>
        <v>37-48 months</v>
      </c>
      <c r="X4390">
        <f t="shared" si="137"/>
        <v>329.79999999999995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136"/>
        <v>37-48 months</v>
      </c>
      <c r="X4391">
        <f t="shared" si="137"/>
        <v>3012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136"/>
        <v>37-48 months</v>
      </c>
      <c r="X4392">
        <f t="shared" si="137"/>
        <v>1274.9000000000001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136"/>
        <v>0-12 months</v>
      </c>
      <c r="X4393">
        <f t="shared" si="137"/>
        <v>535.5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136"/>
        <v>0-12 months</v>
      </c>
      <c r="X4394">
        <f t="shared" si="137"/>
        <v>19.2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136"/>
        <v>37-48 months</v>
      </c>
      <c r="X4395">
        <f t="shared" si="137"/>
        <v>1816.5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136"/>
        <v>37-48 months</v>
      </c>
      <c r="X4396">
        <f t="shared" si="137"/>
        <v>1131.45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136"/>
        <v>49+ months</v>
      </c>
      <c r="X4397">
        <f t="shared" si="137"/>
        <v>7172.55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136"/>
        <v>0-12 months</v>
      </c>
      <c r="X4398">
        <f t="shared" si="137"/>
        <v>25.1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136"/>
        <v>49+ months</v>
      </c>
      <c r="X4399">
        <f t="shared" si="137"/>
        <v>7484.4000000000005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136"/>
        <v>49+ months</v>
      </c>
      <c r="X4400">
        <f t="shared" si="137"/>
        <v>4826.5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136"/>
        <v>49+ months</v>
      </c>
      <c r="X4401">
        <f t="shared" si="137"/>
        <v>6804.5999999999995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136"/>
        <v>0-12 months</v>
      </c>
      <c r="X4402">
        <f t="shared" si="137"/>
        <v>172.9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136"/>
        <v>37-48 months</v>
      </c>
      <c r="X4403">
        <f t="shared" si="137"/>
        <v>5069.2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136"/>
        <v>37-48 months</v>
      </c>
      <c r="X4404">
        <f t="shared" si="137"/>
        <v>1909.0500000000002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136"/>
        <v>37-48 months</v>
      </c>
      <c r="X4405">
        <f t="shared" si="137"/>
        <v>1998.4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136"/>
        <v>37-48 months</v>
      </c>
      <c r="X4406">
        <f t="shared" si="137"/>
        <v>2149.1999999999998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136"/>
        <v>0-12 months</v>
      </c>
      <c r="X4407">
        <f t="shared" si="137"/>
        <v>501.29999999999995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136"/>
        <v>37-48 months</v>
      </c>
      <c r="X4408">
        <f t="shared" si="137"/>
        <v>2919.3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136"/>
        <v>0-12 months</v>
      </c>
      <c r="X4409">
        <f t="shared" si="137"/>
        <v>162.80000000000001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136"/>
        <v>49+ months</v>
      </c>
      <c r="X4410">
        <f t="shared" si="137"/>
        <v>5144.4000000000005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136"/>
        <v>49+ months</v>
      </c>
      <c r="X4411">
        <f t="shared" si="137"/>
        <v>3290.85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136"/>
        <v>37-48 months</v>
      </c>
      <c r="X4412">
        <f t="shared" si="137"/>
        <v>1514.4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136"/>
        <v>49+ months</v>
      </c>
      <c r="X4413">
        <f t="shared" si="137"/>
        <v>2844.2999999999997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136"/>
        <v>49+ months</v>
      </c>
      <c r="X4414">
        <f t="shared" si="137"/>
        <v>1679.7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136"/>
        <v>37-48 months</v>
      </c>
      <c r="X4415">
        <f t="shared" si="137"/>
        <v>1515.5500000000002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136"/>
        <v>37-48 months</v>
      </c>
      <c r="X4416">
        <f t="shared" si="137"/>
        <v>435.75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136"/>
        <v>49+ months</v>
      </c>
      <c r="X4417">
        <f t="shared" si="137"/>
        <v>4362.5999999999995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136"/>
        <v>37-48 months</v>
      </c>
      <c r="X4418">
        <f t="shared" si="137"/>
        <v>1281.8000000000002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138">IF(F4419&lt;=12,"0-12 months",
IF(A4419&lt;=24,"13-24 months",
IF(A4419&lt;=36,"25-36 months",
IF(F4419&lt;=48,"37-48 months","49+ months"))))</f>
        <v>0-12 months</v>
      </c>
      <c r="X4419">
        <f t="shared" ref="X4419:X4482" si="139">S4419 * F4419</f>
        <v>70.45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138"/>
        <v>49+ months</v>
      </c>
      <c r="X4420">
        <f t="shared" si="139"/>
        <v>3497.3999999999996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138"/>
        <v>0-12 months</v>
      </c>
      <c r="X4421">
        <f t="shared" si="139"/>
        <v>168.4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138"/>
        <v>37-48 months</v>
      </c>
      <c r="X4422">
        <f t="shared" si="139"/>
        <v>1872.4499999999998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138"/>
        <v>37-48 months</v>
      </c>
      <c r="X4423">
        <f t="shared" si="139"/>
        <v>3020.8999999999996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138"/>
        <v>37-48 months</v>
      </c>
      <c r="X4424">
        <f t="shared" si="139"/>
        <v>2910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138"/>
        <v>37-48 months</v>
      </c>
      <c r="X4425">
        <f t="shared" si="139"/>
        <v>2191.2000000000003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138"/>
        <v>0-12 months</v>
      </c>
      <c r="X4426">
        <f t="shared" si="139"/>
        <v>24.75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138"/>
        <v>37-48 months</v>
      </c>
      <c r="X4427">
        <f t="shared" si="139"/>
        <v>968.80000000000007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138"/>
        <v>37-48 months</v>
      </c>
      <c r="X4428">
        <f t="shared" si="139"/>
        <v>1272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138"/>
        <v>49+ months</v>
      </c>
      <c r="X4429">
        <f t="shared" si="139"/>
        <v>4931.8500000000004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138"/>
        <v>37-48 months</v>
      </c>
      <c r="X4430">
        <f t="shared" si="139"/>
        <v>1962.7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138"/>
        <v>49+ months</v>
      </c>
      <c r="X4431">
        <f t="shared" si="139"/>
        <v>5579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138"/>
        <v>37-48 months</v>
      </c>
      <c r="X4432">
        <f t="shared" si="139"/>
        <v>1964.8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138"/>
        <v>37-48 months</v>
      </c>
      <c r="X4433">
        <f t="shared" si="139"/>
        <v>1256.3999999999999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138"/>
        <v>37-48 months</v>
      </c>
      <c r="X4434">
        <f t="shared" si="139"/>
        <v>1500.35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138"/>
        <v>0-12 months</v>
      </c>
      <c r="X4435">
        <f t="shared" si="139"/>
        <v>302.60000000000002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138"/>
        <v>37-48 months</v>
      </c>
      <c r="X4436">
        <f t="shared" si="139"/>
        <v>1451.2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138"/>
        <v>37-48 months</v>
      </c>
      <c r="X4437">
        <f t="shared" si="139"/>
        <v>1368.5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138"/>
        <v>37-48 months</v>
      </c>
      <c r="X4438">
        <f t="shared" si="139"/>
        <v>1151.4000000000001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138"/>
        <v>49+ months</v>
      </c>
      <c r="X4439">
        <f t="shared" si="139"/>
        <v>6069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138"/>
        <v>49+ months</v>
      </c>
      <c r="X4440">
        <f t="shared" si="139"/>
        <v>1272.45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138"/>
        <v>37-48 months</v>
      </c>
      <c r="X4441">
        <f t="shared" si="139"/>
        <v>568.4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138"/>
        <v>37-48 months</v>
      </c>
      <c r="X4442">
        <f t="shared" si="139"/>
        <v>2580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138"/>
        <v>37-48 months</v>
      </c>
      <c r="X4443">
        <f t="shared" si="139"/>
        <v>850.5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138"/>
        <v>0-12 months</v>
      </c>
      <c r="X4444">
        <f t="shared" si="139"/>
        <v>235.5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138"/>
        <v>0-12 months</v>
      </c>
      <c r="X4445">
        <f t="shared" si="139"/>
        <v>44.75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138"/>
        <v>0-12 months</v>
      </c>
      <c r="X4446">
        <f t="shared" si="139"/>
        <v>59.550000000000004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138"/>
        <v>49+ months</v>
      </c>
      <c r="X4447">
        <f t="shared" si="139"/>
        <v>6174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138"/>
        <v>0-12 months</v>
      </c>
      <c r="X4448">
        <f t="shared" si="139"/>
        <v>239.70000000000002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138"/>
        <v>49+ months</v>
      </c>
      <c r="X4449">
        <f t="shared" si="139"/>
        <v>7323.6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138"/>
        <v>37-48 months</v>
      </c>
      <c r="X4450">
        <f t="shared" si="139"/>
        <v>2991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138"/>
        <v>49+ months</v>
      </c>
      <c r="X4451">
        <f t="shared" si="139"/>
        <v>6282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138"/>
        <v>37-48 months</v>
      </c>
      <c r="X4452">
        <f t="shared" si="139"/>
        <v>879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138"/>
        <v>37-48 months</v>
      </c>
      <c r="X4453">
        <f t="shared" si="139"/>
        <v>4225.5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138"/>
        <v>49+ months</v>
      </c>
      <c r="X4454">
        <f t="shared" si="139"/>
        <v>6051.5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138"/>
        <v>0-12 months</v>
      </c>
      <c r="X4455">
        <f t="shared" si="139"/>
        <v>985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138"/>
        <v>0-12 months</v>
      </c>
      <c r="X4456">
        <f t="shared" si="139"/>
        <v>77.599999999999994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138"/>
        <v>0-12 months</v>
      </c>
      <c r="X4457">
        <f t="shared" si="139"/>
        <v>50.45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138"/>
        <v>49+ months</v>
      </c>
      <c r="X4458">
        <f t="shared" si="139"/>
        <v>1696.6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138"/>
        <v>37-48 months</v>
      </c>
      <c r="X4459">
        <f t="shared" si="139"/>
        <v>1650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138"/>
        <v>37-48 months</v>
      </c>
      <c r="X4460">
        <f t="shared" si="139"/>
        <v>3596.7000000000003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138"/>
        <v>0-12 months</v>
      </c>
      <c r="X4461">
        <f t="shared" si="139"/>
        <v>100.25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138"/>
        <v>37-48 months</v>
      </c>
      <c r="X4462">
        <f t="shared" si="139"/>
        <v>1407.6000000000001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138"/>
        <v>37-48 months</v>
      </c>
      <c r="X4463">
        <f t="shared" si="139"/>
        <v>2731.8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138"/>
        <v>37-48 months</v>
      </c>
      <c r="X4464">
        <f t="shared" si="139"/>
        <v>1415.2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138"/>
        <v>0-12 months</v>
      </c>
      <c r="X4465">
        <f t="shared" si="139"/>
        <v>69.849999999999994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138"/>
        <v>0-12 months</v>
      </c>
      <c r="X4466">
        <f t="shared" si="139"/>
        <v>980.40000000000009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138"/>
        <v>37-48 months</v>
      </c>
      <c r="X4467">
        <f t="shared" si="139"/>
        <v>1551.55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138"/>
        <v>0-12 months</v>
      </c>
      <c r="X4468">
        <f t="shared" si="139"/>
        <v>319.60000000000002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138"/>
        <v>37-48 months</v>
      </c>
      <c r="X4469">
        <f t="shared" si="139"/>
        <v>3338.3999999999996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138"/>
        <v>37-48 months</v>
      </c>
      <c r="X4470">
        <f t="shared" si="139"/>
        <v>381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138"/>
        <v>49+ months</v>
      </c>
      <c r="X4471">
        <f t="shared" si="139"/>
        <v>4505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138"/>
        <v>0-12 months</v>
      </c>
      <c r="X4472">
        <f t="shared" si="139"/>
        <v>312.55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138"/>
        <v>37-48 months</v>
      </c>
      <c r="X4473">
        <f t="shared" si="139"/>
        <v>3433.75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138"/>
        <v>49+ months</v>
      </c>
      <c r="X4474">
        <f t="shared" si="139"/>
        <v>5463.7999999999993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138"/>
        <v>37-48 months</v>
      </c>
      <c r="X4475">
        <f t="shared" si="139"/>
        <v>2550.6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138"/>
        <v>49+ months</v>
      </c>
      <c r="X4476">
        <f t="shared" si="139"/>
        <v>3040.9500000000003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138"/>
        <v>0-12 months</v>
      </c>
      <c r="X4477">
        <f t="shared" si="139"/>
        <v>58.650000000000006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138"/>
        <v>0-12 months</v>
      </c>
      <c r="X4478">
        <f t="shared" si="139"/>
        <v>20.9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138"/>
        <v>37-48 months</v>
      </c>
      <c r="X4479">
        <f t="shared" si="139"/>
        <v>930.05000000000007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138"/>
        <v>0-12 months</v>
      </c>
      <c r="X4480">
        <f t="shared" si="139"/>
        <v>162.60000000000002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138"/>
        <v>49+ months</v>
      </c>
      <c r="X4481">
        <f t="shared" si="139"/>
        <v>1442.55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138"/>
        <v>0-12 months</v>
      </c>
      <c r="X4482">
        <f t="shared" si="139"/>
        <v>69.400000000000006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140">IF(F4483&lt;=12,"0-12 months",
IF(A4483&lt;=24,"13-24 months",
IF(A4483&lt;=36,"25-36 months",
IF(F4483&lt;=48,"37-48 months","49+ months"))))</f>
        <v>37-48 months</v>
      </c>
      <c r="X4483">
        <f t="shared" ref="X4483:X4546" si="141">S4483 * F4483</f>
        <v>1686.3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140"/>
        <v>0-12 months</v>
      </c>
      <c r="X4484">
        <f t="shared" si="141"/>
        <v>524.30000000000007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140"/>
        <v>49+ months</v>
      </c>
      <c r="X4485">
        <f t="shared" si="141"/>
        <v>1715.2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140"/>
        <v>0-12 months</v>
      </c>
      <c r="X4486">
        <f t="shared" si="141"/>
        <v>70.349999999999994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140"/>
        <v>49+ months</v>
      </c>
      <c r="X4487">
        <f t="shared" si="141"/>
        <v>6052.2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140"/>
        <v>49+ months</v>
      </c>
      <c r="X4488">
        <f t="shared" si="141"/>
        <v>5441.2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140"/>
        <v>0-12 months</v>
      </c>
      <c r="X4489">
        <f t="shared" si="141"/>
        <v>96.4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140"/>
        <v>37-48 months</v>
      </c>
      <c r="X4490">
        <f t="shared" si="141"/>
        <v>3114.3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140"/>
        <v>49+ months</v>
      </c>
      <c r="X4491">
        <f t="shared" si="141"/>
        <v>3446.4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140"/>
        <v>49+ months</v>
      </c>
      <c r="X4492">
        <f t="shared" si="141"/>
        <v>6242.4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140"/>
        <v>0-12 months</v>
      </c>
      <c r="X4493">
        <f t="shared" si="141"/>
        <v>19.75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140"/>
        <v>49+ months</v>
      </c>
      <c r="X4494">
        <f t="shared" si="141"/>
        <v>1298.7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140"/>
        <v>37-48 months</v>
      </c>
      <c r="X4495">
        <f t="shared" si="141"/>
        <v>455.40000000000003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140"/>
        <v>0-12 months</v>
      </c>
      <c r="X4496">
        <f t="shared" si="141"/>
        <v>252.89999999999998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140"/>
        <v>0-12 months</v>
      </c>
      <c r="X4497">
        <f t="shared" si="141"/>
        <v>70.099999999999994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140"/>
        <v>49+ months</v>
      </c>
      <c r="X4498">
        <f t="shared" si="141"/>
        <v>6462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140"/>
        <v>49+ months</v>
      </c>
      <c r="X4499">
        <f t="shared" si="141"/>
        <v>5877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140"/>
        <v>0-12 months</v>
      </c>
      <c r="X4500">
        <f t="shared" si="141"/>
        <v>220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140"/>
        <v>0-12 months</v>
      </c>
      <c r="X4501">
        <f t="shared" si="141"/>
        <v>939.59999999999991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140"/>
        <v>49+ months</v>
      </c>
      <c r="X4502">
        <f t="shared" si="141"/>
        <v>6337.9000000000005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140"/>
        <v>37-48 months</v>
      </c>
      <c r="X4503">
        <f t="shared" si="141"/>
        <v>807.3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140"/>
        <v>49+ months</v>
      </c>
      <c r="X4504">
        <f t="shared" si="141"/>
        <v>5324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140"/>
        <v>37-48 months</v>
      </c>
      <c r="X4505">
        <f t="shared" si="141"/>
        <v>1604.8000000000002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140"/>
        <v>37-48 months</v>
      </c>
      <c r="X4506">
        <f t="shared" si="141"/>
        <v>745.55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140"/>
        <v>49+ months</v>
      </c>
      <c r="X4507">
        <f t="shared" si="141"/>
        <v>1872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140"/>
        <v>49+ months</v>
      </c>
      <c r="X4508">
        <f t="shared" si="141"/>
        <v>5569.2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140"/>
        <v>0-12 months</v>
      </c>
      <c r="X4509">
        <f t="shared" si="141"/>
        <v>528.4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140"/>
        <v>37-48 months</v>
      </c>
      <c r="X4510">
        <f t="shared" si="141"/>
        <v>437.79999999999995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140"/>
        <v>0-12 months</v>
      </c>
      <c r="X4511">
        <f t="shared" si="141"/>
        <v>84.3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140"/>
        <v>37-48 months</v>
      </c>
      <c r="X4512">
        <f t="shared" si="141"/>
        <v>2589.7000000000003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140"/>
        <v>37-48 months</v>
      </c>
      <c r="X4513">
        <f t="shared" si="141"/>
        <v>1374.4499999999998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140"/>
        <v>49+ months</v>
      </c>
      <c r="X4514">
        <f t="shared" si="141"/>
        <v>5285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140"/>
        <v>49+ months</v>
      </c>
      <c r="X4515">
        <f t="shared" si="141"/>
        <v>6656.4000000000005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140"/>
        <v>37-48 months</v>
      </c>
      <c r="X4516">
        <f t="shared" si="141"/>
        <v>2256.7999999999997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140"/>
        <v>37-48 months</v>
      </c>
      <c r="X4517">
        <f t="shared" si="141"/>
        <v>1248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140"/>
        <v>49+ months</v>
      </c>
      <c r="X4518">
        <f t="shared" si="141"/>
        <v>6303.5999999999995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140"/>
        <v>0-12 months</v>
      </c>
      <c r="X4519">
        <f t="shared" si="141"/>
        <v>1095.05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140"/>
        <v>0-12 months</v>
      </c>
      <c r="X4520">
        <f t="shared" si="141"/>
        <v>650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140"/>
        <v>49+ months</v>
      </c>
      <c r="X4521">
        <f t="shared" si="141"/>
        <v>6235.8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140"/>
        <v>0-12 months</v>
      </c>
      <c r="X4522">
        <f t="shared" si="141"/>
        <v>19.95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140"/>
        <v>37-48 months</v>
      </c>
      <c r="X4523">
        <f t="shared" si="141"/>
        <v>2095.2999999999997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140"/>
        <v>37-48 months</v>
      </c>
      <c r="X4524">
        <f t="shared" si="141"/>
        <v>621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140"/>
        <v>0-12 months</v>
      </c>
      <c r="X4525">
        <f t="shared" si="141"/>
        <v>753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140"/>
        <v>37-48 months</v>
      </c>
      <c r="X4526">
        <f t="shared" si="141"/>
        <v>2282.75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140"/>
        <v>37-48 months</v>
      </c>
      <c r="X4527">
        <f t="shared" si="141"/>
        <v>2988.8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140"/>
        <v>37-48 months</v>
      </c>
      <c r="X4528">
        <f t="shared" si="141"/>
        <v>958.75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140"/>
        <v>37-48 months</v>
      </c>
      <c r="X4529">
        <f t="shared" si="141"/>
        <v>3137.55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140"/>
        <v>37-48 months</v>
      </c>
      <c r="X4530">
        <f t="shared" si="141"/>
        <v>3878.6000000000004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140"/>
        <v>0-12 months</v>
      </c>
      <c r="X4531">
        <f t="shared" si="141"/>
        <v>442.8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140"/>
        <v>49+ months</v>
      </c>
      <c r="X4532">
        <f t="shared" si="141"/>
        <v>1316.55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140"/>
        <v>0-12 months</v>
      </c>
      <c r="X4533">
        <f t="shared" si="141"/>
        <v>714.15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140"/>
        <v>37-48 months</v>
      </c>
      <c r="X4534">
        <f t="shared" si="141"/>
        <v>1196.25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140"/>
        <v>49+ months</v>
      </c>
      <c r="X4535">
        <f t="shared" si="141"/>
        <v>7465.6500000000005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140"/>
        <v>0-12 months</v>
      </c>
      <c r="X4536">
        <f t="shared" si="141"/>
        <v>49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140"/>
        <v>37-48 months</v>
      </c>
      <c r="X4537">
        <f t="shared" si="141"/>
        <v>3001.5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140"/>
        <v>0-12 months</v>
      </c>
      <c r="X4538">
        <f t="shared" si="141"/>
        <v>69.349999999999994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140"/>
        <v>37-48 months</v>
      </c>
      <c r="X4539">
        <f t="shared" si="141"/>
        <v>846.59999999999991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140"/>
        <v>0-12 months</v>
      </c>
      <c r="X4540">
        <f t="shared" si="141"/>
        <v>257.39999999999998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140"/>
        <v>49+ months</v>
      </c>
      <c r="X4541">
        <f t="shared" si="141"/>
        <v>5339.9000000000005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140"/>
        <v>0-12 months</v>
      </c>
      <c r="X4542">
        <f t="shared" si="141"/>
        <v>20.95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140"/>
        <v>0-12 months</v>
      </c>
      <c r="X4543">
        <f t="shared" si="141"/>
        <v>50.55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140"/>
        <v>37-48 months</v>
      </c>
      <c r="X4544">
        <f t="shared" si="141"/>
        <v>2537.6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140"/>
        <v>37-48 months</v>
      </c>
      <c r="X4545">
        <f t="shared" si="141"/>
        <v>799.5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140"/>
        <v>0-12 months</v>
      </c>
      <c r="X4546">
        <f t="shared" si="141"/>
        <v>80.55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142">IF(F4547&lt;=12,"0-12 months",
IF(A4547&lt;=24,"13-24 months",
IF(A4547&lt;=36,"25-36 months",
IF(F4547&lt;=48,"37-48 months","49+ months"))))</f>
        <v>0-12 months</v>
      </c>
      <c r="X4547">
        <f t="shared" ref="X4547:X4610" si="143">S4547 * F4547</f>
        <v>44.15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142"/>
        <v>0-12 months</v>
      </c>
      <c r="X4548">
        <f t="shared" si="143"/>
        <v>1014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142"/>
        <v>49+ months</v>
      </c>
      <c r="X4549">
        <f t="shared" si="143"/>
        <v>6541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142"/>
        <v>37-48 months</v>
      </c>
      <c r="X4550">
        <f t="shared" si="143"/>
        <v>1854.6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142"/>
        <v>37-48 months</v>
      </c>
      <c r="X4551">
        <f t="shared" si="143"/>
        <v>1575.9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142"/>
        <v>49+ months</v>
      </c>
      <c r="X4552">
        <f t="shared" si="143"/>
        <v>1890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142"/>
        <v>49+ months</v>
      </c>
      <c r="X4553">
        <f t="shared" si="143"/>
        <v>5429.2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142"/>
        <v>0-12 months</v>
      </c>
      <c r="X4554">
        <f t="shared" si="143"/>
        <v>184.04999999999998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142"/>
        <v>49+ months</v>
      </c>
      <c r="X4555">
        <f t="shared" si="143"/>
        <v>8337.6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142"/>
        <v>37-48 months</v>
      </c>
      <c r="X4556">
        <f t="shared" si="143"/>
        <v>2164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142"/>
        <v>37-48 months</v>
      </c>
      <c r="X4557">
        <f t="shared" si="143"/>
        <v>383.8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142"/>
        <v>0-12 months</v>
      </c>
      <c r="X4558">
        <f t="shared" si="143"/>
        <v>135.5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142"/>
        <v>49+ months</v>
      </c>
      <c r="X4559">
        <f t="shared" si="143"/>
        <v>2909.7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142"/>
        <v>37-48 months</v>
      </c>
      <c r="X4560">
        <f t="shared" si="143"/>
        <v>2301.75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142"/>
        <v>0-12 months</v>
      </c>
      <c r="X4561">
        <f t="shared" si="143"/>
        <v>120.89999999999999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142"/>
        <v>0-12 months</v>
      </c>
      <c r="X4562">
        <f t="shared" si="143"/>
        <v>813.15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142"/>
        <v>0-12 months</v>
      </c>
      <c r="X4563">
        <f t="shared" si="143"/>
        <v>446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142"/>
        <v>49+ months</v>
      </c>
      <c r="X4564">
        <f t="shared" si="143"/>
        <v>8136.5999999999995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142"/>
        <v>0-12 months</v>
      </c>
      <c r="X4565">
        <f t="shared" si="143"/>
        <v>800.5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142"/>
        <v>0-12 months</v>
      </c>
      <c r="X4566">
        <f t="shared" si="143"/>
        <v>20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142"/>
        <v>49+ months</v>
      </c>
      <c r="X4567">
        <f t="shared" si="143"/>
        <v>4742.8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142"/>
        <v>49+ months</v>
      </c>
      <c r="X4568">
        <f t="shared" si="143"/>
        <v>6820.4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142"/>
        <v>37-48 months</v>
      </c>
      <c r="X4569">
        <f t="shared" si="143"/>
        <v>3581.8999999999996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142"/>
        <v>37-48 months</v>
      </c>
      <c r="X4570">
        <f t="shared" si="143"/>
        <v>2215.2000000000003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142"/>
        <v>37-48 months</v>
      </c>
      <c r="X4571">
        <f t="shared" si="143"/>
        <v>1073.5999999999999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142"/>
        <v>0-12 months</v>
      </c>
      <c r="X4572">
        <f t="shared" si="143"/>
        <v>132.65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142"/>
        <v>37-48 months</v>
      </c>
      <c r="X4573">
        <f t="shared" si="143"/>
        <v>1396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142"/>
        <v>49+ months</v>
      </c>
      <c r="X4574">
        <f t="shared" si="143"/>
        <v>6369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142"/>
        <v>49+ months</v>
      </c>
      <c r="X4575">
        <f t="shared" si="143"/>
        <v>1479.6000000000001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142"/>
        <v>49+ months</v>
      </c>
      <c r="X4576">
        <f t="shared" si="143"/>
        <v>7614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142"/>
        <v>0-12 months</v>
      </c>
      <c r="X4577">
        <f t="shared" si="143"/>
        <v>101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142"/>
        <v>37-48 months</v>
      </c>
      <c r="X4578">
        <f t="shared" si="143"/>
        <v>316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142"/>
        <v>49+ months</v>
      </c>
      <c r="X4579">
        <f t="shared" si="143"/>
        <v>6500.7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142"/>
        <v>0-12 months</v>
      </c>
      <c r="X4580">
        <f t="shared" si="143"/>
        <v>609.5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142"/>
        <v>37-48 months</v>
      </c>
      <c r="X4581">
        <f t="shared" si="143"/>
        <v>2515.65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142"/>
        <v>49+ months</v>
      </c>
      <c r="X4582">
        <f t="shared" si="143"/>
        <v>1356.1000000000001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142"/>
        <v>49+ months</v>
      </c>
      <c r="X4583">
        <f t="shared" si="143"/>
        <v>1206.4000000000001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142"/>
        <v>49+ months</v>
      </c>
      <c r="X4584">
        <f t="shared" si="143"/>
        <v>6310.5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142"/>
        <v>49+ months</v>
      </c>
      <c r="X4585">
        <f t="shared" si="143"/>
        <v>6397.0999999999995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142"/>
        <v>49+ months</v>
      </c>
      <c r="X4586">
        <f t="shared" si="143"/>
        <v>5112.8999999999996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142"/>
        <v>0-12 months</v>
      </c>
      <c r="X4587">
        <f t="shared" si="143"/>
        <v>85.05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142"/>
        <v>49+ months</v>
      </c>
      <c r="X4588">
        <f t="shared" si="143"/>
        <v>8550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142"/>
        <v>37-48 months</v>
      </c>
      <c r="X4589">
        <f t="shared" si="143"/>
        <v>2233.4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142"/>
        <v>37-48 months</v>
      </c>
      <c r="X4590">
        <f t="shared" si="143"/>
        <v>3135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142"/>
        <v>0-12 months</v>
      </c>
      <c r="X4591">
        <f t="shared" si="143"/>
        <v>201.5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142"/>
        <v>49+ months</v>
      </c>
      <c r="X4592">
        <f t="shared" si="143"/>
        <v>5774.0999999999995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142"/>
        <v>0-12 months</v>
      </c>
      <c r="X4593">
        <f t="shared" si="143"/>
        <v>212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142"/>
        <v>37-48 months</v>
      </c>
      <c r="X4594">
        <f t="shared" si="143"/>
        <v>943.8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142"/>
        <v>0-12 months</v>
      </c>
      <c r="X4595">
        <f t="shared" si="143"/>
        <v>223.3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142"/>
        <v>37-48 months</v>
      </c>
      <c r="X4596">
        <f t="shared" si="143"/>
        <v>2158.7999999999997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142"/>
        <v>49+ months</v>
      </c>
      <c r="X4597">
        <f t="shared" si="143"/>
        <v>5800.4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142"/>
        <v>37-48 months</v>
      </c>
      <c r="X4598">
        <f t="shared" si="143"/>
        <v>1612.8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142"/>
        <v>0-12 months</v>
      </c>
      <c r="X4599">
        <f t="shared" si="143"/>
        <v>599.70000000000005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142"/>
        <v>37-48 months</v>
      </c>
      <c r="X4600">
        <f t="shared" si="143"/>
        <v>1012.5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142"/>
        <v>49+ months</v>
      </c>
      <c r="X4601">
        <f t="shared" si="143"/>
        <v>2649.4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142"/>
        <v>49+ months</v>
      </c>
      <c r="X4602">
        <f t="shared" si="143"/>
        <v>6487.5999999999995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142"/>
        <v>37-48 months</v>
      </c>
      <c r="X4603">
        <f t="shared" si="143"/>
        <v>4664.25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142"/>
        <v>49+ months</v>
      </c>
      <c r="X4604">
        <f t="shared" si="143"/>
        <v>1748.7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142"/>
        <v>0-12 months</v>
      </c>
      <c r="X4605">
        <f t="shared" si="143"/>
        <v>105.30000000000001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142"/>
        <v>49+ months</v>
      </c>
      <c r="X4606">
        <f t="shared" si="143"/>
        <v>6441.5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142"/>
        <v>49+ months</v>
      </c>
      <c r="X4607">
        <f t="shared" si="143"/>
        <v>4236.75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142"/>
        <v>0-12 months</v>
      </c>
      <c r="X4608">
        <f t="shared" si="143"/>
        <v>275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142"/>
        <v>0-12 months</v>
      </c>
      <c r="X4609">
        <f t="shared" si="143"/>
        <v>59.55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142"/>
        <v>49+ months</v>
      </c>
      <c r="X4610">
        <f t="shared" si="143"/>
        <v>4279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144">IF(F4611&lt;=12,"0-12 months",
IF(A4611&lt;=24,"13-24 months",
IF(A4611&lt;=36,"25-36 months",
IF(F4611&lt;=48,"37-48 months","49+ months"))))</f>
        <v>37-48 months</v>
      </c>
      <c r="X4611">
        <f t="shared" ref="X4611:X4674" si="145">S4611 * F4611</f>
        <v>1377.5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144"/>
        <v>49+ months</v>
      </c>
      <c r="X4612">
        <f t="shared" si="145"/>
        <v>8481.6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144"/>
        <v>49+ months</v>
      </c>
      <c r="X4613">
        <f t="shared" si="145"/>
        <v>1738.8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144"/>
        <v>49+ months</v>
      </c>
      <c r="X4614">
        <f t="shared" si="145"/>
        <v>2941.25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144"/>
        <v>49+ months</v>
      </c>
      <c r="X4615">
        <f t="shared" si="145"/>
        <v>4293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144"/>
        <v>0-12 months</v>
      </c>
      <c r="X4616">
        <f t="shared" si="145"/>
        <v>141.75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144"/>
        <v>49+ months</v>
      </c>
      <c r="X4617">
        <f t="shared" si="145"/>
        <v>4662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144"/>
        <v>37-48 months</v>
      </c>
      <c r="X4618">
        <f t="shared" si="145"/>
        <v>1146.6000000000001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144"/>
        <v>0-12 months</v>
      </c>
      <c r="X4619">
        <f t="shared" si="145"/>
        <v>41.4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144"/>
        <v>0-12 months</v>
      </c>
      <c r="X4620">
        <f t="shared" si="145"/>
        <v>379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144"/>
        <v>0-12 months</v>
      </c>
      <c r="X4621">
        <f t="shared" si="145"/>
        <v>238.95000000000002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144"/>
        <v>49+ months</v>
      </c>
      <c r="X4622">
        <f t="shared" si="145"/>
        <v>8337.6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144"/>
        <v>0-12 months</v>
      </c>
      <c r="X4623">
        <f t="shared" si="145"/>
        <v>296.70000000000005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144"/>
        <v>49+ months</v>
      </c>
      <c r="X4624">
        <f t="shared" si="145"/>
        <v>4357.5999999999995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144"/>
        <v>49+ months</v>
      </c>
      <c r="X4625">
        <f t="shared" si="145"/>
        <v>6579.15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144"/>
        <v>0-12 months</v>
      </c>
      <c r="X4626">
        <f t="shared" si="145"/>
        <v>757.6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144"/>
        <v>0-12 months</v>
      </c>
      <c r="X4627">
        <f t="shared" si="145"/>
        <v>592.4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144"/>
        <v>49+ months</v>
      </c>
      <c r="X4628">
        <f t="shared" si="145"/>
        <v>5644.7999999999993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144"/>
        <v>49+ months</v>
      </c>
      <c r="X4629">
        <f t="shared" si="145"/>
        <v>6996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144"/>
        <v>0-12 months</v>
      </c>
      <c r="X4630">
        <f t="shared" si="145"/>
        <v>650.40000000000009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144"/>
        <v>37-48 months</v>
      </c>
      <c r="X4631">
        <f t="shared" si="145"/>
        <v>250.9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144"/>
        <v>37-48 months</v>
      </c>
      <c r="X4632">
        <f t="shared" si="145"/>
        <v>1431.1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144"/>
        <v>0-12 months</v>
      </c>
      <c r="X4633">
        <f t="shared" si="145"/>
        <v>462.5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144"/>
        <v>0-12 months</v>
      </c>
      <c r="X4634">
        <f t="shared" si="145"/>
        <v>19.45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144"/>
        <v>49+ months</v>
      </c>
      <c r="X4635">
        <f t="shared" si="145"/>
        <v>1731.6000000000001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144"/>
        <v>0-12 months</v>
      </c>
      <c r="X4636">
        <f t="shared" si="145"/>
        <v>37.5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144"/>
        <v>37-48 months</v>
      </c>
      <c r="X4637">
        <f t="shared" si="145"/>
        <v>806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144"/>
        <v>37-48 months</v>
      </c>
      <c r="X4638">
        <f t="shared" si="145"/>
        <v>880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144"/>
        <v>49+ months</v>
      </c>
      <c r="X4639">
        <f t="shared" si="145"/>
        <v>5041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144"/>
        <v>0-12 months</v>
      </c>
      <c r="X4640">
        <f t="shared" si="145"/>
        <v>151.1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144"/>
        <v>37-48 months</v>
      </c>
      <c r="X4641">
        <f t="shared" si="145"/>
        <v>2433.6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144"/>
        <v>0-12 months</v>
      </c>
      <c r="X4642">
        <f t="shared" si="145"/>
        <v>70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144"/>
        <v>0-12 months</v>
      </c>
      <c r="X4643">
        <f t="shared" si="145"/>
        <v>24.4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144"/>
        <v>49+ months</v>
      </c>
      <c r="X4644">
        <f t="shared" si="145"/>
        <v>4862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144"/>
        <v>0-12 months</v>
      </c>
      <c r="X4645">
        <f t="shared" si="145"/>
        <v>195.75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144"/>
        <v>37-48 months</v>
      </c>
      <c r="X4646">
        <f t="shared" si="145"/>
        <v>657.15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144"/>
        <v>37-48 months</v>
      </c>
      <c r="X4647">
        <f t="shared" si="145"/>
        <v>3445.2000000000003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144"/>
        <v>0-12 months</v>
      </c>
      <c r="X4648">
        <f t="shared" si="145"/>
        <v>70.7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144"/>
        <v>0-12 months</v>
      </c>
      <c r="X4649">
        <f t="shared" si="145"/>
        <v>181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144"/>
        <v>0-12 months</v>
      </c>
      <c r="X4650">
        <f t="shared" si="145"/>
        <v>140.6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144"/>
        <v>49+ months</v>
      </c>
      <c r="X4651">
        <f t="shared" si="145"/>
        <v>7844.4000000000005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144"/>
        <v>37-48 months</v>
      </c>
      <c r="X4652">
        <f t="shared" si="145"/>
        <v>978.65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144"/>
        <v>37-48 months</v>
      </c>
      <c r="X4653">
        <f t="shared" si="145"/>
        <v>1293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144"/>
        <v>37-48 months</v>
      </c>
      <c r="X4654">
        <f t="shared" si="145"/>
        <v>451.95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144"/>
        <v>37-48 months</v>
      </c>
      <c r="X4655">
        <f t="shared" si="145"/>
        <v>1536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144"/>
        <v>37-48 months</v>
      </c>
      <c r="X4656">
        <f t="shared" si="145"/>
        <v>800.1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144"/>
        <v>37-48 months</v>
      </c>
      <c r="X4657">
        <f t="shared" si="145"/>
        <v>2392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144"/>
        <v>37-48 months</v>
      </c>
      <c r="X4658">
        <f t="shared" si="145"/>
        <v>1667.6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144"/>
        <v>37-48 months</v>
      </c>
      <c r="X4659">
        <f t="shared" si="145"/>
        <v>1054.2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144"/>
        <v>0-12 months</v>
      </c>
      <c r="X4660">
        <f t="shared" si="145"/>
        <v>355.6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144"/>
        <v>49+ months</v>
      </c>
      <c r="X4661">
        <f t="shared" si="145"/>
        <v>6779.5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144"/>
        <v>0-12 months</v>
      </c>
      <c r="X4662">
        <f t="shared" si="145"/>
        <v>39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144"/>
        <v>49+ months</v>
      </c>
      <c r="X4663">
        <f t="shared" si="145"/>
        <v>6230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144"/>
        <v>37-48 months</v>
      </c>
      <c r="X4664">
        <f t="shared" si="145"/>
        <v>443.29999999999995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144"/>
        <v>0-12 months</v>
      </c>
      <c r="X4665">
        <f t="shared" si="145"/>
        <v>299.60000000000002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144"/>
        <v>0-12 months</v>
      </c>
      <c r="X4666">
        <f t="shared" si="145"/>
        <v>149.80000000000001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144"/>
        <v>49+ months</v>
      </c>
      <c r="X4667">
        <f t="shared" si="145"/>
        <v>2422.0499999999997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144"/>
        <v>37-48 months</v>
      </c>
      <c r="X4668">
        <f t="shared" si="145"/>
        <v>480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144"/>
        <v>37-48 months</v>
      </c>
      <c r="X4669">
        <f t="shared" si="145"/>
        <v>385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144"/>
        <v>0-12 months</v>
      </c>
      <c r="X4670">
        <f t="shared" si="145"/>
        <v>122.4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144"/>
        <v>49+ months</v>
      </c>
      <c r="X4671">
        <f t="shared" si="145"/>
        <v>1042.95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144"/>
        <v>37-48 months</v>
      </c>
      <c r="X4672">
        <f t="shared" si="145"/>
        <v>1612.3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144"/>
        <v>37-48 months</v>
      </c>
      <c r="X4673">
        <f t="shared" si="145"/>
        <v>2506.25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144"/>
        <v>37-48 months</v>
      </c>
      <c r="X4674">
        <f t="shared" si="145"/>
        <v>572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146">IF(F4675&lt;=12,"0-12 months",
IF(A4675&lt;=24,"13-24 months",
IF(A4675&lt;=36,"25-36 months",
IF(F4675&lt;=48,"37-48 months","49+ months"))))</f>
        <v>37-48 months</v>
      </c>
      <c r="X4675">
        <f t="shared" ref="X4675:X4738" si="147">S4675 * F4675</f>
        <v>2570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146"/>
        <v>37-48 months</v>
      </c>
      <c r="X4676">
        <f t="shared" si="147"/>
        <v>1309.1000000000001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146"/>
        <v>37-48 months</v>
      </c>
      <c r="X4677">
        <f t="shared" si="147"/>
        <v>4300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146"/>
        <v>37-48 months</v>
      </c>
      <c r="X4678">
        <f t="shared" si="147"/>
        <v>380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146"/>
        <v>0-12 months</v>
      </c>
      <c r="X4679">
        <f t="shared" si="147"/>
        <v>998.5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146"/>
        <v>0-12 months</v>
      </c>
      <c r="X4680">
        <f t="shared" si="147"/>
        <v>188.4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146"/>
        <v>49+ months</v>
      </c>
      <c r="X4681">
        <f t="shared" si="147"/>
        <v>6220.8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146"/>
        <v>37-48 months</v>
      </c>
      <c r="X4682">
        <f t="shared" si="147"/>
        <v>1051.2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146"/>
        <v>0-12 months</v>
      </c>
      <c r="X4683">
        <f t="shared" si="147"/>
        <v>754.65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146"/>
        <v>37-48 months</v>
      </c>
      <c r="X4684">
        <f t="shared" si="147"/>
        <v>2384.1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146"/>
        <v>37-48 months</v>
      </c>
      <c r="X4685">
        <f t="shared" si="147"/>
        <v>2258.3999999999996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146"/>
        <v>49+ months</v>
      </c>
      <c r="X4686">
        <f t="shared" si="147"/>
        <v>7179.45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146"/>
        <v>37-48 months</v>
      </c>
      <c r="X4687">
        <f t="shared" si="147"/>
        <v>5009.4000000000005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146"/>
        <v>49+ months</v>
      </c>
      <c r="X4688">
        <f t="shared" si="147"/>
        <v>7732.8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146"/>
        <v>37-48 months</v>
      </c>
      <c r="X4689">
        <f t="shared" si="147"/>
        <v>2083.4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146"/>
        <v>49+ months</v>
      </c>
      <c r="X4690">
        <f t="shared" si="147"/>
        <v>6359.5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146"/>
        <v>0-12 months</v>
      </c>
      <c r="X4691">
        <f t="shared" si="147"/>
        <v>39.799999999999997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146"/>
        <v>37-48 months</v>
      </c>
      <c r="X4692">
        <f t="shared" si="147"/>
        <v>2058.4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146"/>
        <v>49+ months</v>
      </c>
      <c r="X4693">
        <f t="shared" si="147"/>
        <v>5636.4000000000005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146"/>
        <v>37-48 months</v>
      </c>
      <c r="X4694">
        <f t="shared" si="147"/>
        <v>1611.2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146"/>
        <v>49+ months</v>
      </c>
      <c r="X4695">
        <f t="shared" si="147"/>
        <v>1331.2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146"/>
        <v>37-48 months</v>
      </c>
      <c r="X4696">
        <f t="shared" si="147"/>
        <v>258.05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146"/>
        <v>37-48 months</v>
      </c>
      <c r="X4697">
        <f t="shared" si="147"/>
        <v>726.25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146"/>
        <v>49+ months</v>
      </c>
      <c r="X4698">
        <f t="shared" si="147"/>
        <v>5652.2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146"/>
        <v>49+ months</v>
      </c>
      <c r="X4699">
        <f t="shared" si="147"/>
        <v>6814.8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146"/>
        <v>49+ months</v>
      </c>
      <c r="X4700">
        <f t="shared" si="147"/>
        <v>5316.3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146"/>
        <v>49+ months</v>
      </c>
      <c r="X4701">
        <f t="shared" si="147"/>
        <v>5225.8500000000004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146"/>
        <v>0-12 months</v>
      </c>
      <c r="X4702">
        <f t="shared" si="147"/>
        <v>91.7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146"/>
        <v>37-48 months</v>
      </c>
      <c r="X4703">
        <f t="shared" si="147"/>
        <v>2191.35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146"/>
        <v>49+ months</v>
      </c>
      <c r="X4704">
        <f t="shared" si="147"/>
        <v>2994.3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146"/>
        <v>37-48 months</v>
      </c>
      <c r="X4705">
        <f t="shared" si="147"/>
        <v>1892.3999999999999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146"/>
        <v>0-12 months</v>
      </c>
      <c r="X4706">
        <f t="shared" si="147"/>
        <v>61.15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146"/>
        <v>0-12 months</v>
      </c>
      <c r="X4707">
        <f t="shared" si="147"/>
        <v>473.70000000000005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146"/>
        <v>0-12 months</v>
      </c>
      <c r="X4708">
        <f t="shared" si="147"/>
        <v>44.45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146"/>
        <v>49+ months</v>
      </c>
      <c r="X4709">
        <f t="shared" si="147"/>
        <v>5350.8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146"/>
        <v>49+ months</v>
      </c>
      <c r="X4710">
        <f t="shared" si="147"/>
        <v>3432.7999999999997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146"/>
        <v>49+ months</v>
      </c>
      <c r="X4711">
        <f t="shared" si="147"/>
        <v>5423.5999999999995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146"/>
        <v>0-12 months</v>
      </c>
      <c r="X4712">
        <f t="shared" si="147"/>
        <v>243.29999999999998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146"/>
        <v>37-48 months</v>
      </c>
      <c r="X4713">
        <f t="shared" si="147"/>
        <v>633.6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146"/>
        <v>49+ months</v>
      </c>
      <c r="X4714">
        <f t="shared" si="147"/>
        <v>5412.5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146"/>
        <v>49+ months</v>
      </c>
      <c r="X4715">
        <f t="shared" si="147"/>
        <v>6092.9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146"/>
        <v>49+ months</v>
      </c>
      <c r="X4716">
        <f t="shared" si="147"/>
        <v>5879.25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146"/>
        <v>49+ months</v>
      </c>
      <c r="X4717">
        <f t="shared" si="147"/>
        <v>5529.6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146"/>
        <v>49+ months</v>
      </c>
      <c r="X4718">
        <f t="shared" si="147"/>
        <v>4415.4000000000005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146"/>
        <v>37-48 months</v>
      </c>
      <c r="X4719">
        <f t="shared" si="147"/>
        <v>4206.6000000000004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146"/>
        <v>37-48 months</v>
      </c>
      <c r="X4720">
        <f t="shared" si="147"/>
        <v>400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146"/>
        <v>37-48 months</v>
      </c>
      <c r="X4721">
        <f t="shared" si="147"/>
        <v>3056.4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146"/>
        <v>49+ months</v>
      </c>
      <c r="X4722">
        <f t="shared" si="147"/>
        <v>6534.4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146"/>
        <v>0-12 months</v>
      </c>
      <c r="X4723">
        <f t="shared" si="147"/>
        <v>20.25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146"/>
        <v>49+ months</v>
      </c>
      <c r="X4724">
        <f t="shared" si="147"/>
        <v>4209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146"/>
        <v>0-12 months</v>
      </c>
      <c r="X4725">
        <f t="shared" si="147"/>
        <v>74.349999999999994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146"/>
        <v>49+ months</v>
      </c>
      <c r="X4726">
        <f t="shared" si="147"/>
        <v>4002.5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146"/>
        <v>0-12 months</v>
      </c>
      <c r="X4727">
        <f t="shared" si="147"/>
        <v>62.05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146"/>
        <v>49+ months</v>
      </c>
      <c r="X4728">
        <f t="shared" si="147"/>
        <v>3542.4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146"/>
        <v>49+ months</v>
      </c>
      <c r="X4729">
        <f t="shared" si="147"/>
        <v>1230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146"/>
        <v>37-48 months</v>
      </c>
      <c r="X4730">
        <f t="shared" si="147"/>
        <v>1759.5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146"/>
        <v>49+ months</v>
      </c>
      <c r="X4731">
        <f t="shared" si="147"/>
        <v>3791.55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146"/>
        <v>37-48 months</v>
      </c>
      <c r="X4732">
        <f t="shared" si="147"/>
        <v>2994.6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146"/>
        <v>37-48 months</v>
      </c>
      <c r="X4733">
        <f t="shared" si="147"/>
        <v>378.09999999999997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146"/>
        <v>49+ months</v>
      </c>
      <c r="X4734">
        <f t="shared" si="147"/>
        <v>1412.8999999999999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146"/>
        <v>0-12 months</v>
      </c>
      <c r="X4735">
        <f t="shared" si="147"/>
        <v>1015.1999999999999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146"/>
        <v>37-48 months</v>
      </c>
      <c r="X4736">
        <f t="shared" si="147"/>
        <v>3120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146"/>
        <v>37-48 months</v>
      </c>
      <c r="X4737">
        <f t="shared" si="147"/>
        <v>3751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146"/>
        <v>49+ months</v>
      </c>
      <c r="X4738">
        <f t="shared" si="147"/>
        <v>4550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148">IF(F4739&lt;=12,"0-12 months",
IF(A4739&lt;=24,"13-24 months",
IF(A4739&lt;=36,"25-36 months",
IF(F4739&lt;=48,"37-48 months","49+ months"))))</f>
        <v>49+ months</v>
      </c>
      <c r="X4739">
        <f t="shared" ref="X4739:X4802" si="149">S4739 * F4739</f>
        <v>8316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148"/>
        <v>0-12 months</v>
      </c>
      <c r="X4740">
        <f t="shared" si="149"/>
        <v>520.5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148"/>
        <v>0-12 months</v>
      </c>
      <c r="X4741">
        <f t="shared" si="149"/>
        <v>869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148"/>
        <v>37-48 months</v>
      </c>
      <c r="X4742">
        <f t="shared" si="149"/>
        <v>938.40000000000009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148"/>
        <v>37-48 months</v>
      </c>
      <c r="X4743">
        <f t="shared" si="149"/>
        <v>1419.75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148"/>
        <v>49+ months</v>
      </c>
      <c r="X4744">
        <f t="shared" si="149"/>
        <v>1497.6000000000001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148"/>
        <v>49+ months</v>
      </c>
      <c r="X4745">
        <f t="shared" si="149"/>
        <v>3332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148"/>
        <v>49+ months</v>
      </c>
      <c r="X4746">
        <f t="shared" si="149"/>
        <v>1283.2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148"/>
        <v>37-48 months</v>
      </c>
      <c r="X4747">
        <f t="shared" si="149"/>
        <v>3415.3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148"/>
        <v>0-12 months</v>
      </c>
      <c r="X4748">
        <f t="shared" si="149"/>
        <v>153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148"/>
        <v>37-48 months</v>
      </c>
      <c r="X4749">
        <f t="shared" si="149"/>
        <v>721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148"/>
        <v>37-48 months</v>
      </c>
      <c r="X4750">
        <f t="shared" si="149"/>
        <v>446.6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148"/>
        <v>0-12 months</v>
      </c>
      <c r="X4751">
        <f t="shared" si="149"/>
        <v>246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148"/>
        <v>0-12 months</v>
      </c>
      <c r="X4752">
        <f t="shared" si="149"/>
        <v>355.95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148"/>
        <v>0-12 months</v>
      </c>
      <c r="X4753">
        <f t="shared" si="149"/>
        <v>254.64999999999998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148"/>
        <v>37-48 months</v>
      </c>
      <c r="X4754">
        <f t="shared" si="149"/>
        <v>470.34999999999997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148"/>
        <v>0-12 months</v>
      </c>
      <c r="X4755">
        <f t="shared" si="149"/>
        <v>323.39999999999998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148"/>
        <v>49+ months</v>
      </c>
      <c r="X4756">
        <f t="shared" si="149"/>
        <v>1717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148"/>
        <v>37-48 months</v>
      </c>
      <c r="X4757">
        <f t="shared" si="149"/>
        <v>3011.25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148"/>
        <v>37-48 months</v>
      </c>
      <c r="X4758">
        <f t="shared" si="149"/>
        <v>2245.9500000000003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148"/>
        <v>0-12 months</v>
      </c>
      <c r="X4759">
        <f t="shared" si="149"/>
        <v>60.1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148"/>
        <v>49+ months</v>
      </c>
      <c r="X4760">
        <f t="shared" si="149"/>
        <v>1103.2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148"/>
        <v>0-12 months</v>
      </c>
      <c r="X4761">
        <f t="shared" si="149"/>
        <v>78.95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148"/>
        <v>49+ months</v>
      </c>
      <c r="X4762">
        <f t="shared" si="149"/>
        <v>4956.5999999999995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148"/>
        <v>49+ months</v>
      </c>
      <c r="X4763">
        <f t="shared" si="149"/>
        <v>1800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148"/>
        <v>37-48 months</v>
      </c>
      <c r="X4764">
        <f t="shared" si="149"/>
        <v>2351.1000000000004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148"/>
        <v>49+ months</v>
      </c>
      <c r="X4765">
        <f t="shared" si="149"/>
        <v>5309.9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148"/>
        <v>0-12 months</v>
      </c>
      <c r="X4766">
        <f t="shared" si="149"/>
        <v>90.3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148"/>
        <v>37-48 months</v>
      </c>
      <c r="X4767">
        <f t="shared" si="149"/>
        <v>1324.6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148"/>
        <v>49+ months</v>
      </c>
      <c r="X4768">
        <f t="shared" si="149"/>
        <v>8033.6500000000005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148"/>
        <v>0-12 months</v>
      </c>
      <c r="X4769">
        <f t="shared" si="149"/>
        <v>19.850000000000001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148"/>
        <v>49+ months</v>
      </c>
      <c r="X4770">
        <f t="shared" si="149"/>
        <v>1405.8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148"/>
        <v>37-48 months</v>
      </c>
      <c r="X4771">
        <f t="shared" si="149"/>
        <v>696.5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148"/>
        <v>0-12 months</v>
      </c>
      <c r="X4772">
        <f t="shared" si="149"/>
        <v>118.19999999999999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148"/>
        <v>0-12 months</v>
      </c>
      <c r="X4773">
        <f t="shared" si="149"/>
        <v>238.20000000000002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148"/>
        <v>49+ months</v>
      </c>
      <c r="X4774">
        <f t="shared" si="149"/>
        <v>4077.9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148"/>
        <v>37-48 months</v>
      </c>
      <c r="X4775">
        <f t="shared" si="149"/>
        <v>2373.8000000000002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148"/>
        <v>49+ months</v>
      </c>
      <c r="X4776">
        <f t="shared" si="149"/>
        <v>4830.9500000000007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148"/>
        <v>37-48 months</v>
      </c>
      <c r="X4777">
        <f t="shared" si="149"/>
        <v>2383.1999999999998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148"/>
        <v>0-12 months</v>
      </c>
      <c r="X4778">
        <f t="shared" si="149"/>
        <v>344.75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148"/>
        <v>0-12 months</v>
      </c>
      <c r="X4779">
        <f t="shared" si="149"/>
        <v>103.1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148"/>
        <v>49+ months</v>
      </c>
      <c r="X4780">
        <f t="shared" si="149"/>
        <v>1512.8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148"/>
        <v>37-48 months</v>
      </c>
      <c r="X4781">
        <f t="shared" si="149"/>
        <v>1839.2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148"/>
        <v>0-12 months</v>
      </c>
      <c r="X4782">
        <f t="shared" si="149"/>
        <v>630.44999999999993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148"/>
        <v>49+ months</v>
      </c>
      <c r="X4783">
        <f t="shared" si="149"/>
        <v>1033.5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148"/>
        <v>0-12 months</v>
      </c>
      <c r="X4784">
        <f t="shared" si="149"/>
        <v>393.75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148"/>
        <v>49+ months</v>
      </c>
      <c r="X4785">
        <f t="shared" si="149"/>
        <v>4913.2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148"/>
        <v>0-12 months</v>
      </c>
      <c r="X4786">
        <f t="shared" si="149"/>
        <v>19.55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148"/>
        <v>37-48 months</v>
      </c>
      <c r="X4787">
        <f t="shared" si="149"/>
        <v>1451.7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148"/>
        <v>49+ months</v>
      </c>
      <c r="X4788">
        <f t="shared" si="149"/>
        <v>7462.8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148"/>
        <v>0-12 months</v>
      </c>
      <c r="X4789">
        <f t="shared" si="149"/>
        <v>218.8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148"/>
        <v>49+ months</v>
      </c>
      <c r="X4790">
        <f t="shared" si="149"/>
        <v>3194.85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148"/>
        <v>0-12 months</v>
      </c>
      <c r="X4791">
        <f t="shared" si="149"/>
        <v>71.099999999999994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148"/>
        <v>37-48 months</v>
      </c>
      <c r="X4792">
        <f t="shared" si="149"/>
        <v>2630.35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148"/>
        <v>0-12 months</v>
      </c>
      <c r="X4793">
        <f t="shared" si="149"/>
        <v>60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148"/>
        <v>49+ months</v>
      </c>
      <c r="X4794">
        <f t="shared" si="149"/>
        <v>6906.25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148"/>
        <v>49+ months</v>
      </c>
      <c r="X4795">
        <f t="shared" si="149"/>
        <v>4863.25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148"/>
        <v>0-12 months</v>
      </c>
      <c r="X4796">
        <f t="shared" si="149"/>
        <v>38.700000000000003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148"/>
        <v>49+ months</v>
      </c>
      <c r="X4797">
        <f t="shared" si="149"/>
        <v>1102.4000000000001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148"/>
        <v>49+ months</v>
      </c>
      <c r="X4798">
        <f t="shared" si="149"/>
        <v>5211.25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148"/>
        <v>49+ months</v>
      </c>
      <c r="X4799">
        <f t="shared" si="149"/>
        <v>8211.6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148"/>
        <v>37-48 months</v>
      </c>
      <c r="X4800">
        <f t="shared" si="149"/>
        <v>2696.4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148"/>
        <v>0-12 months</v>
      </c>
      <c r="X4801">
        <f t="shared" si="149"/>
        <v>198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148"/>
        <v>0-12 months</v>
      </c>
      <c r="X4802">
        <f t="shared" si="149"/>
        <v>94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150">IF(F4803&lt;=12,"0-12 months",
IF(A4803&lt;=24,"13-24 months",
IF(A4803&lt;=36,"25-36 months",
IF(F4803&lt;=48,"37-48 months","49+ months"))))</f>
        <v>49+ months</v>
      </c>
      <c r="X4803">
        <f t="shared" ref="X4803:X4866" si="151">S4803 * F4803</f>
        <v>5821.2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150"/>
        <v>37-48 months</v>
      </c>
      <c r="X4804">
        <f t="shared" si="151"/>
        <v>1530.2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150"/>
        <v>37-48 months</v>
      </c>
      <c r="X4805">
        <f t="shared" si="151"/>
        <v>3484.6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150"/>
        <v>49+ months</v>
      </c>
      <c r="X4806">
        <f t="shared" si="151"/>
        <v>7234.5999999999995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150"/>
        <v>49+ months</v>
      </c>
      <c r="X4807">
        <f t="shared" si="151"/>
        <v>1276.6000000000001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150"/>
        <v>49+ months</v>
      </c>
      <c r="X4808">
        <f t="shared" si="151"/>
        <v>1303.1499999999999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150"/>
        <v>37-48 months</v>
      </c>
      <c r="X4809">
        <f t="shared" si="151"/>
        <v>3949.1000000000004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150"/>
        <v>49+ months</v>
      </c>
      <c r="X4810">
        <f t="shared" si="151"/>
        <v>4352.3999999999996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150"/>
        <v>0-12 months</v>
      </c>
      <c r="X4811">
        <f t="shared" si="151"/>
        <v>20.3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150"/>
        <v>37-48 months</v>
      </c>
      <c r="X4812">
        <f t="shared" si="151"/>
        <v>1347.75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150"/>
        <v>0-12 months</v>
      </c>
      <c r="X4813">
        <f t="shared" si="151"/>
        <v>184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150"/>
        <v>0-12 months</v>
      </c>
      <c r="X4814">
        <f t="shared" si="151"/>
        <v>596.25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150"/>
        <v>37-48 months</v>
      </c>
      <c r="X4815">
        <f t="shared" si="151"/>
        <v>4590.8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150"/>
        <v>37-48 months</v>
      </c>
      <c r="X4816">
        <f t="shared" si="151"/>
        <v>1980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150"/>
        <v>37-48 months</v>
      </c>
      <c r="X4817">
        <f t="shared" si="151"/>
        <v>2677.1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150"/>
        <v>49+ months</v>
      </c>
      <c r="X4818">
        <f t="shared" si="151"/>
        <v>4125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150"/>
        <v>0-12 months</v>
      </c>
      <c r="X4819">
        <f t="shared" si="151"/>
        <v>19.899999999999999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150"/>
        <v>49+ months</v>
      </c>
      <c r="X4820">
        <f t="shared" si="151"/>
        <v>5139.2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150"/>
        <v>49+ months</v>
      </c>
      <c r="X4821">
        <f t="shared" si="151"/>
        <v>1046.75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150"/>
        <v>49+ months</v>
      </c>
      <c r="X4822">
        <f t="shared" si="151"/>
        <v>4889.3999999999996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150"/>
        <v>49+ months</v>
      </c>
      <c r="X4823">
        <f t="shared" si="151"/>
        <v>3026.7999999999997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150"/>
        <v>49+ months</v>
      </c>
      <c r="X4824">
        <f t="shared" si="151"/>
        <v>7552.8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150"/>
        <v>0-12 months</v>
      </c>
      <c r="X4825">
        <f t="shared" si="151"/>
        <v>53.95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150"/>
        <v>49+ months</v>
      </c>
      <c r="X4826">
        <f t="shared" si="151"/>
        <v>7002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150"/>
        <v>37-48 months</v>
      </c>
      <c r="X4827">
        <f t="shared" si="151"/>
        <v>1827.1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150"/>
        <v>0-12 months</v>
      </c>
      <c r="X4828">
        <f t="shared" si="151"/>
        <v>844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150"/>
        <v>37-48 months</v>
      </c>
      <c r="X4829">
        <f t="shared" si="151"/>
        <v>1296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150"/>
        <v>37-48 months</v>
      </c>
      <c r="X4830">
        <f t="shared" si="151"/>
        <v>1602.9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150"/>
        <v>0-12 months</v>
      </c>
      <c r="X4831">
        <f t="shared" si="151"/>
        <v>540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150"/>
        <v>49+ months</v>
      </c>
      <c r="X4832">
        <f t="shared" si="151"/>
        <v>4025.7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150"/>
        <v>37-48 months</v>
      </c>
      <c r="X4833">
        <f t="shared" si="151"/>
        <v>723.6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150"/>
        <v>37-48 months</v>
      </c>
      <c r="X4834">
        <f t="shared" si="151"/>
        <v>2256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150"/>
        <v>37-48 months</v>
      </c>
      <c r="X4835">
        <f t="shared" si="151"/>
        <v>809.75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150"/>
        <v>49+ months</v>
      </c>
      <c r="X4836">
        <f t="shared" si="151"/>
        <v>1651.55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150"/>
        <v>49+ months</v>
      </c>
      <c r="X4837">
        <f t="shared" si="151"/>
        <v>6776.25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150"/>
        <v>37-48 months</v>
      </c>
      <c r="X4838">
        <f t="shared" si="151"/>
        <v>1958.7499999999998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150"/>
        <v>0-12 months</v>
      </c>
      <c r="X4839">
        <f t="shared" si="151"/>
        <v>69.8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150"/>
        <v>49+ months</v>
      </c>
      <c r="X4840">
        <f t="shared" si="151"/>
        <v>7349.9000000000005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150"/>
        <v>0-12 months</v>
      </c>
      <c r="X4841">
        <f t="shared" si="151"/>
        <v>516.25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150"/>
        <v>37-48 months</v>
      </c>
      <c r="X4842">
        <f t="shared" si="151"/>
        <v>1438.3500000000001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150"/>
        <v>37-48 months</v>
      </c>
      <c r="X4843">
        <f t="shared" si="151"/>
        <v>2270.3999999999996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150"/>
        <v>0-12 months</v>
      </c>
      <c r="X4844">
        <f t="shared" si="151"/>
        <v>490.95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150"/>
        <v>49+ months</v>
      </c>
      <c r="X4845">
        <f t="shared" si="151"/>
        <v>1393.8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150"/>
        <v>37-48 months</v>
      </c>
      <c r="X4846">
        <f t="shared" si="151"/>
        <v>751.1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150"/>
        <v>37-48 months</v>
      </c>
      <c r="X4847">
        <f t="shared" si="151"/>
        <v>788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150"/>
        <v>0-12 months</v>
      </c>
      <c r="X4848">
        <f t="shared" si="151"/>
        <v>484.05000000000007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150"/>
        <v>37-48 months</v>
      </c>
      <c r="X4849">
        <f t="shared" si="151"/>
        <v>2821.25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150"/>
        <v>0-12 months</v>
      </c>
      <c r="X4850">
        <f t="shared" si="151"/>
        <v>469.5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150"/>
        <v>37-48 months</v>
      </c>
      <c r="X4851">
        <f t="shared" si="151"/>
        <v>2105.35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150"/>
        <v>49+ months</v>
      </c>
      <c r="X4852">
        <f t="shared" si="151"/>
        <v>5402.7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150"/>
        <v>0-12 months</v>
      </c>
      <c r="X4853">
        <f t="shared" si="151"/>
        <v>211.20000000000002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150"/>
        <v>49+ months</v>
      </c>
      <c r="X4854">
        <f t="shared" si="151"/>
        <v>1400.7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150"/>
        <v>49+ months</v>
      </c>
      <c r="X4855">
        <f t="shared" si="151"/>
        <v>5005.8500000000004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150"/>
        <v>37-48 months</v>
      </c>
      <c r="X4856">
        <f t="shared" si="151"/>
        <v>835.19999999999993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150"/>
        <v>49+ months</v>
      </c>
      <c r="X4857">
        <f t="shared" si="151"/>
        <v>6659.2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150"/>
        <v>37-48 months</v>
      </c>
      <c r="X4858">
        <f t="shared" si="151"/>
        <v>2825.65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150"/>
        <v>37-48 months</v>
      </c>
      <c r="X4859">
        <f t="shared" si="151"/>
        <v>498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150"/>
        <v>49+ months</v>
      </c>
      <c r="X4860">
        <f t="shared" si="151"/>
        <v>3397.2000000000003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150"/>
        <v>49+ months</v>
      </c>
      <c r="X4861">
        <f t="shared" si="151"/>
        <v>6835.5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150"/>
        <v>37-48 months</v>
      </c>
      <c r="X4862">
        <f t="shared" si="151"/>
        <v>527.15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150"/>
        <v>37-48 months</v>
      </c>
      <c r="X4863">
        <f t="shared" si="151"/>
        <v>2829.6000000000004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150"/>
        <v>0-12 months</v>
      </c>
      <c r="X4864">
        <f t="shared" si="151"/>
        <v>141.9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150"/>
        <v>49+ months</v>
      </c>
      <c r="X4865">
        <f t="shared" si="151"/>
        <v>1182.75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150"/>
        <v>49+ months</v>
      </c>
      <c r="X4866">
        <f t="shared" si="151"/>
        <v>8033.6500000000005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152">IF(F4867&lt;=12,"0-12 months",
IF(A4867&lt;=24,"13-24 months",
IF(A4867&lt;=36,"25-36 months",
IF(F4867&lt;=48,"37-48 months","49+ months"))))</f>
        <v>0-12 months</v>
      </c>
      <c r="X4867">
        <f t="shared" ref="X4867:X4930" si="153">S4867 * F4867</f>
        <v>341.59999999999997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152"/>
        <v>37-48 months</v>
      </c>
      <c r="X4868">
        <f t="shared" si="153"/>
        <v>1008.8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152"/>
        <v>37-48 months</v>
      </c>
      <c r="X4869">
        <f t="shared" si="153"/>
        <v>3428.8999999999996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152"/>
        <v>37-48 months</v>
      </c>
      <c r="X4870">
        <f t="shared" si="153"/>
        <v>3681.5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152"/>
        <v>37-48 months</v>
      </c>
      <c r="X4871">
        <f t="shared" si="153"/>
        <v>1288.8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152"/>
        <v>37-48 months</v>
      </c>
      <c r="X4872">
        <f t="shared" si="153"/>
        <v>3091.2000000000003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152"/>
        <v>49+ months</v>
      </c>
      <c r="X4873">
        <f t="shared" si="153"/>
        <v>4361.6000000000004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152"/>
        <v>49+ months</v>
      </c>
      <c r="X4874">
        <f t="shared" si="153"/>
        <v>6112.8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152"/>
        <v>0-12 months</v>
      </c>
      <c r="X4875">
        <f t="shared" si="153"/>
        <v>135.1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152"/>
        <v>37-48 months</v>
      </c>
      <c r="X4876">
        <f t="shared" si="153"/>
        <v>3188.2000000000003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152"/>
        <v>37-48 months</v>
      </c>
      <c r="X4877">
        <f t="shared" si="153"/>
        <v>5637.6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152"/>
        <v>0-12 months</v>
      </c>
      <c r="X4878">
        <f t="shared" si="153"/>
        <v>1044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152"/>
        <v>37-48 months</v>
      </c>
      <c r="X4879">
        <f t="shared" si="153"/>
        <v>2239.5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152"/>
        <v>37-48 months</v>
      </c>
      <c r="X4880">
        <f t="shared" si="153"/>
        <v>1830.55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152"/>
        <v>37-48 months</v>
      </c>
      <c r="X4881">
        <f t="shared" si="153"/>
        <v>3178.6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152"/>
        <v>49+ months</v>
      </c>
      <c r="X4882">
        <f t="shared" si="153"/>
        <v>1027.5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152"/>
        <v>37-48 months</v>
      </c>
      <c r="X4883">
        <f t="shared" si="153"/>
        <v>2143.4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152"/>
        <v>49+ months</v>
      </c>
      <c r="X4884">
        <f t="shared" si="153"/>
        <v>4125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152"/>
        <v>0-12 months</v>
      </c>
      <c r="X4885">
        <f t="shared" si="153"/>
        <v>235.2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152"/>
        <v>37-48 months</v>
      </c>
      <c r="X4886">
        <f t="shared" si="153"/>
        <v>3890.9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152"/>
        <v>49+ months</v>
      </c>
      <c r="X4887">
        <f t="shared" si="153"/>
        <v>8038.8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152"/>
        <v>0-12 months</v>
      </c>
      <c r="X4888">
        <f t="shared" si="153"/>
        <v>139.29999999999998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152"/>
        <v>37-48 months</v>
      </c>
      <c r="X4889">
        <f t="shared" si="153"/>
        <v>777.1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152"/>
        <v>37-48 months</v>
      </c>
      <c r="X4890">
        <f t="shared" si="153"/>
        <v>4666.2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152"/>
        <v>37-48 months</v>
      </c>
      <c r="X4891">
        <f t="shared" si="153"/>
        <v>5332.1500000000005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152"/>
        <v>49+ months</v>
      </c>
      <c r="X4892">
        <f t="shared" si="153"/>
        <v>4905.1499999999996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152"/>
        <v>0-12 months</v>
      </c>
      <c r="X4893">
        <f t="shared" si="153"/>
        <v>262.39999999999998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152"/>
        <v>37-48 months</v>
      </c>
      <c r="X4894">
        <f t="shared" si="153"/>
        <v>1687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152"/>
        <v>0-12 months</v>
      </c>
      <c r="X4895">
        <f t="shared" si="153"/>
        <v>89.3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152"/>
        <v>49+ months</v>
      </c>
      <c r="X4896">
        <f t="shared" si="153"/>
        <v>4052.7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152"/>
        <v>37-48 months</v>
      </c>
      <c r="X4897">
        <f t="shared" si="153"/>
        <v>3746.6000000000004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152"/>
        <v>37-48 months</v>
      </c>
      <c r="X4898">
        <f t="shared" si="153"/>
        <v>1192.8000000000002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152"/>
        <v>37-48 months</v>
      </c>
      <c r="X4899">
        <f t="shared" si="153"/>
        <v>453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152"/>
        <v>0-12 months</v>
      </c>
      <c r="X4900">
        <f t="shared" si="153"/>
        <v>75.75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152"/>
        <v>0-12 months</v>
      </c>
      <c r="X4901">
        <f t="shared" si="153"/>
        <v>336.2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152"/>
        <v>37-48 months</v>
      </c>
      <c r="X4902">
        <f t="shared" si="153"/>
        <v>3170.9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152"/>
        <v>0-12 months</v>
      </c>
      <c r="X4903">
        <f t="shared" si="153"/>
        <v>74.7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152"/>
        <v>37-48 months</v>
      </c>
      <c r="X4904">
        <f t="shared" si="153"/>
        <v>1352.4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152"/>
        <v>0-12 months</v>
      </c>
      <c r="X4905">
        <f t="shared" si="153"/>
        <v>454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152"/>
        <v>37-48 months</v>
      </c>
      <c r="X4906">
        <f t="shared" si="153"/>
        <v>3549.15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152"/>
        <v>49+ months</v>
      </c>
      <c r="X4907">
        <f t="shared" si="153"/>
        <v>1151.3000000000002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152"/>
        <v>49+ months</v>
      </c>
      <c r="X4908">
        <f t="shared" si="153"/>
        <v>6904.8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152"/>
        <v>49+ months</v>
      </c>
      <c r="X4909">
        <f t="shared" si="153"/>
        <v>1693.3500000000001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152"/>
        <v>37-48 months</v>
      </c>
      <c r="X4910">
        <f t="shared" si="153"/>
        <v>2972.2000000000003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152"/>
        <v>49+ months</v>
      </c>
      <c r="X4911">
        <f t="shared" si="153"/>
        <v>4276.3499999999995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152"/>
        <v>37-48 months</v>
      </c>
      <c r="X4912">
        <f t="shared" si="153"/>
        <v>2560.5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152"/>
        <v>49+ months</v>
      </c>
      <c r="X4913">
        <f t="shared" si="153"/>
        <v>6105.5999999999995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152"/>
        <v>37-48 months</v>
      </c>
      <c r="X4914">
        <f t="shared" si="153"/>
        <v>3270.6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152"/>
        <v>37-48 months</v>
      </c>
      <c r="X4915">
        <f t="shared" si="153"/>
        <v>1065.3999999999999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152"/>
        <v>49+ months</v>
      </c>
      <c r="X4916">
        <f t="shared" si="153"/>
        <v>5367.5999999999995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152"/>
        <v>37-48 months</v>
      </c>
      <c r="X4917">
        <f t="shared" si="153"/>
        <v>862.40000000000009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152"/>
        <v>0-12 months</v>
      </c>
      <c r="X4918">
        <f t="shared" si="153"/>
        <v>159.1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152"/>
        <v>37-48 months</v>
      </c>
      <c r="X4919">
        <f t="shared" si="153"/>
        <v>294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152"/>
        <v>49+ months</v>
      </c>
      <c r="X4920">
        <f t="shared" si="153"/>
        <v>997.05000000000007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152"/>
        <v>49+ months</v>
      </c>
      <c r="X4921">
        <f t="shared" si="153"/>
        <v>2740.5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152"/>
        <v>49+ months</v>
      </c>
      <c r="X4922">
        <f t="shared" si="153"/>
        <v>1427.1000000000001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152"/>
        <v>37-48 months</v>
      </c>
      <c r="X4923">
        <f t="shared" si="153"/>
        <v>3898.05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152"/>
        <v>49+ months</v>
      </c>
      <c r="X4924">
        <f t="shared" si="153"/>
        <v>3647.7999999999997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152"/>
        <v>49+ months</v>
      </c>
      <c r="X4925">
        <f t="shared" si="153"/>
        <v>2587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152"/>
        <v>0-12 months</v>
      </c>
      <c r="X4926">
        <f t="shared" si="153"/>
        <v>35.75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152"/>
        <v>49+ months</v>
      </c>
      <c r="X4927">
        <f t="shared" si="153"/>
        <v>6944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152"/>
        <v>49+ months</v>
      </c>
      <c r="X4928">
        <f t="shared" si="153"/>
        <v>3729.2999999999997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152"/>
        <v>37-48 months</v>
      </c>
      <c r="X4929">
        <f t="shared" si="153"/>
        <v>571.5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152"/>
        <v>0-12 months</v>
      </c>
      <c r="X4930">
        <f t="shared" si="153"/>
        <v>184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154">IF(F4931&lt;=12,"0-12 months",
IF(A4931&lt;=24,"13-24 months",
IF(A4931&lt;=36,"25-36 months",
IF(F4931&lt;=48,"37-48 months","49+ months"))))</f>
        <v>49+ months</v>
      </c>
      <c r="X4931">
        <f t="shared" ref="X4931:X4994" si="155">S4931 * F4931</f>
        <v>5292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154"/>
        <v>0-12 months</v>
      </c>
      <c r="X4932">
        <f t="shared" si="155"/>
        <v>44.55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154"/>
        <v>37-48 months</v>
      </c>
      <c r="X4933">
        <f t="shared" si="155"/>
        <v>1551.75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154"/>
        <v>37-48 months</v>
      </c>
      <c r="X4934">
        <f t="shared" si="155"/>
        <v>2177.5500000000002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154"/>
        <v>0-12 months</v>
      </c>
      <c r="X4935">
        <f t="shared" si="155"/>
        <v>228.8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154"/>
        <v>49+ months</v>
      </c>
      <c r="X4936">
        <f t="shared" si="155"/>
        <v>7974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154"/>
        <v>37-48 months</v>
      </c>
      <c r="X4937">
        <f t="shared" si="155"/>
        <v>1111.5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154"/>
        <v>37-48 months</v>
      </c>
      <c r="X4938">
        <f t="shared" si="155"/>
        <v>4367.25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154"/>
        <v>37-48 months</v>
      </c>
      <c r="X4939">
        <f t="shared" si="155"/>
        <v>2748.6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154"/>
        <v>37-48 months</v>
      </c>
      <c r="X4940">
        <f t="shared" si="155"/>
        <v>1519.8000000000002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154"/>
        <v>0-12 months</v>
      </c>
      <c r="X4941">
        <f t="shared" si="155"/>
        <v>18.899999999999999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154"/>
        <v>37-48 months</v>
      </c>
      <c r="X4942">
        <f t="shared" si="155"/>
        <v>1191.2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154"/>
        <v>0-12 months</v>
      </c>
      <c r="X4943">
        <f t="shared" si="155"/>
        <v>59.400000000000006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154"/>
        <v>0-12 months</v>
      </c>
      <c r="X4944">
        <f t="shared" si="155"/>
        <v>203.6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154"/>
        <v>49+ months</v>
      </c>
      <c r="X4945">
        <f t="shared" si="155"/>
        <v>5992.4000000000005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154"/>
        <v>0-12 months</v>
      </c>
      <c r="X4946">
        <f t="shared" si="155"/>
        <v>244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154"/>
        <v>37-48 months</v>
      </c>
      <c r="X4947">
        <f t="shared" si="155"/>
        <v>401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154"/>
        <v>0-12 months</v>
      </c>
      <c r="X4948">
        <f t="shared" si="155"/>
        <v>324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154"/>
        <v>37-48 months</v>
      </c>
      <c r="X4949">
        <f t="shared" si="155"/>
        <v>2557.1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154"/>
        <v>0-12 months</v>
      </c>
      <c r="X4950">
        <f t="shared" si="155"/>
        <v>222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154"/>
        <v>0-12 months</v>
      </c>
      <c r="X4951">
        <f t="shared" si="155"/>
        <v>255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154"/>
        <v>0-12 months</v>
      </c>
      <c r="X4952">
        <f t="shared" si="155"/>
        <v>366.6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154"/>
        <v>37-48 months</v>
      </c>
      <c r="X4953">
        <f t="shared" si="155"/>
        <v>2444.6999999999998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154"/>
        <v>0-12 months</v>
      </c>
      <c r="X4954">
        <f t="shared" si="155"/>
        <v>200.4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154"/>
        <v>37-48 months</v>
      </c>
      <c r="X4955">
        <f t="shared" si="155"/>
        <v>562.59999999999991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154"/>
        <v>0-12 months</v>
      </c>
      <c r="X4956">
        <f t="shared" si="155"/>
        <v>90.85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154"/>
        <v>0-12 months</v>
      </c>
      <c r="X4957">
        <f t="shared" si="155"/>
        <v>69.400000000000006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154"/>
        <v>0-12 months</v>
      </c>
      <c r="X4958">
        <f t="shared" si="155"/>
        <v>755.6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154"/>
        <v>37-48 months</v>
      </c>
      <c r="X4959">
        <f t="shared" si="155"/>
        <v>265.2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154"/>
        <v>49+ months</v>
      </c>
      <c r="X4960">
        <f t="shared" si="155"/>
        <v>5590.25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154"/>
        <v>0-12 months</v>
      </c>
      <c r="X4961">
        <f t="shared" si="155"/>
        <v>20.149999999999999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154"/>
        <v>49+ months</v>
      </c>
      <c r="X4962">
        <f t="shared" si="155"/>
        <v>4785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154"/>
        <v>37-48 months</v>
      </c>
      <c r="X4963">
        <f t="shared" si="155"/>
        <v>798.30000000000007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154"/>
        <v>37-48 months</v>
      </c>
      <c r="X4964">
        <f t="shared" si="155"/>
        <v>1267.3499999999999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154"/>
        <v>37-48 months</v>
      </c>
      <c r="X4965">
        <f t="shared" si="155"/>
        <v>3459.2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154"/>
        <v>37-48 months</v>
      </c>
      <c r="X4966">
        <f t="shared" si="155"/>
        <v>1948.7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154"/>
        <v>0-12 months</v>
      </c>
      <c r="X4967">
        <f t="shared" si="155"/>
        <v>287.70000000000005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154"/>
        <v>37-48 months</v>
      </c>
      <c r="X4968">
        <f t="shared" si="155"/>
        <v>951.9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154"/>
        <v>0-12 months</v>
      </c>
      <c r="X4969">
        <f t="shared" si="155"/>
        <v>190.8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154"/>
        <v>49+ months</v>
      </c>
      <c r="X4970">
        <f t="shared" si="155"/>
        <v>3604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154"/>
        <v>0-12 months</v>
      </c>
      <c r="X4971">
        <f t="shared" si="155"/>
        <v>39.700000000000003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154"/>
        <v>0-12 months</v>
      </c>
      <c r="X4972">
        <f t="shared" si="155"/>
        <v>170.45000000000002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154"/>
        <v>37-48 months</v>
      </c>
      <c r="X4973">
        <f t="shared" si="155"/>
        <v>351.90000000000003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154"/>
        <v>49+ months</v>
      </c>
      <c r="X4974">
        <f t="shared" si="155"/>
        <v>1778.55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154"/>
        <v>37-48 months</v>
      </c>
      <c r="X4975">
        <f t="shared" si="155"/>
        <v>1219.3999999999999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154"/>
        <v>0-12 months</v>
      </c>
      <c r="X4976">
        <f t="shared" si="155"/>
        <v>110.55000000000001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154"/>
        <v>49+ months</v>
      </c>
      <c r="X4977">
        <f t="shared" si="155"/>
        <v>7470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154"/>
        <v>49+ months</v>
      </c>
      <c r="X4978">
        <f t="shared" si="155"/>
        <v>3745.5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154"/>
        <v>37-48 months</v>
      </c>
      <c r="X4979">
        <f t="shared" si="155"/>
        <v>499.20000000000005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154"/>
        <v>0-12 months</v>
      </c>
      <c r="X4980">
        <f t="shared" si="155"/>
        <v>44.1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154"/>
        <v>49+ months</v>
      </c>
      <c r="X4981">
        <f t="shared" si="155"/>
        <v>1369.2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154"/>
        <v>37-48 months</v>
      </c>
      <c r="X4982">
        <f t="shared" si="155"/>
        <v>563.20000000000005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154"/>
        <v>37-48 months</v>
      </c>
      <c r="X4983">
        <f t="shared" si="155"/>
        <v>710.5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154"/>
        <v>49+ months</v>
      </c>
      <c r="X4984">
        <f t="shared" si="155"/>
        <v>6368.4000000000005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154"/>
        <v>37-48 months</v>
      </c>
      <c r="X4985">
        <f t="shared" si="155"/>
        <v>1572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154"/>
        <v>37-48 months</v>
      </c>
      <c r="X4986">
        <f t="shared" si="155"/>
        <v>2505.2999999999997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154"/>
        <v>49+ months</v>
      </c>
      <c r="X4987">
        <f t="shared" si="155"/>
        <v>5997.5999999999995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154"/>
        <v>0-12 months</v>
      </c>
      <c r="X4988">
        <f t="shared" si="155"/>
        <v>954.59999999999991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154"/>
        <v>49+ months</v>
      </c>
      <c r="X4989">
        <f t="shared" si="155"/>
        <v>1735.95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154"/>
        <v>37-48 months</v>
      </c>
      <c r="X4990">
        <f t="shared" si="155"/>
        <v>499.2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154"/>
        <v>0-12 months</v>
      </c>
      <c r="X4991">
        <f t="shared" si="155"/>
        <v>208.6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154"/>
        <v>0-12 months</v>
      </c>
      <c r="X4992">
        <f t="shared" si="155"/>
        <v>273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154"/>
        <v>49+ months</v>
      </c>
      <c r="X4993">
        <f t="shared" si="155"/>
        <v>6174.1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154"/>
        <v>49+ months</v>
      </c>
      <c r="X4994">
        <f t="shared" si="155"/>
        <v>1532.55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156">IF(F4995&lt;=12,"0-12 months",
IF(A4995&lt;=24,"13-24 months",
IF(A4995&lt;=36,"25-36 months",
IF(F4995&lt;=48,"37-48 months","49+ months"))))</f>
        <v>49+ months</v>
      </c>
      <c r="X4995">
        <f t="shared" ref="X4995:X5058" si="157">S4995 * F4995</f>
        <v>4726.8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156"/>
        <v>37-48 months</v>
      </c>
      <c r="X4996">
        <f t="shared" si="157"/>
        <v>1728.8999999999999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156"/>
        <v>0-12 months</v>
      </c>
      <c r="X4997">
        <f t="shared" si="157"/>
        <v>525.69999999999993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156"/>
        <v>37-48 months</v>
      </c>
      <c r="X4998">
        <f t="shared" si="157"/>
        <v>3480.35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156"/>
        <v>0-12 months</v>
      </c>
      <c r="X4999">
        <f t="shared" si="157"/>
        <v>89.4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156"/>
        <v>49+ months</v>
      </c>
      <c r="X5000">
        <f t="shared" si="157"/>
        <v>6866.5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156"/>
        <v>37-48 months</v>
      </c>
      <c r="X5001">
        <f t="shared" si="157"/>
        <v>315.2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156"/>
        <v>0-12 months</v>
      </c>
      <c r="X5002">
        <f t="shared" si="157"/>
        <v>297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156"/>
        <v>37-48 months</v>
      </c>
      <c r="X5003">
        <f t="shared" si="157"/>
        <v>1045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156"/>
        <v>49+ months</v>
      </c>
      <c r="X5004">
        <f t="shared" si="157"/>
        <v>3032.55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156"/>
        <v>0-12 months</v>
      </c>
      <c r="X5005">
        <f t="shared" si="157"/>
        <v>817.84999999999991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156"/>
        <v>49+ months</v>
      </c>
      <c r="X5006">
        <f t="shared" si="157"/>
        <v>7113.6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156"/>
        <v>37-48 months</v>
      </c>
      <c r="X5007">
        <f t="shared" si="157"/>
        <v>4083.3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156"/>
        <v>37-48 months</v>
      </c>
      <c r="X5008">
        <f t="shared" si="157"/>
        <v>835.5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156"/>
        <v>37-48 months</v>
      </c>
      <c r="X5009">
        <f t="shared" si="157"/>
        <v>515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156"/>
        <v>0-12 months</v>
      </c>
      <c r="X5010">
        <f t="shared" si="157"/>
        <v>117.89999999999999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156"/>
        <v>49+ months</v>
      </c>
      <c r="X5011">
        <f t="shared" si="157"/>
        <v>7642.8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156"/>
        <v>49+ months</v>
      </c>
      <c r="X5012">
        <f t="shared" si="157"/>
        <v>5407.6500000000005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156"/>
        <v>37-48 months</v>
      </c>
      <c r="X5013">
        <f t="shared" si="157"/>
        <v>4063.5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156"/>
        <v>0-12 months</v>
      </c>
      <c r="X5014">
        <f t="shared" si="157"/>
        <v>241.20000000000002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156"/>
        <v>37-48 months</v>
      </c>
      <c r="X5015">
        <f t="shared" si="157"/>
        <v>796.94999999999993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156"/>
        <v>49+ months</v>
      </c>
      <c r="X5016">
        <f t="shared" si="157"/>
        <v>3713.2999999999997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156"/>
        <v>37-48 months</v>
      </c>
      <c r="X5017">
        <f t="shared" si="157"/>
        <v>2210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156"/>
        <v>0-12 months</v>
      </c>
      <c r="X5018">
        <f t="shared" si="157"/>
        <v>99.25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156"/>
        <v>37-48 months</v>
      </c>
      <c r="X5019">
        <f t="shared" si="157"/>
        <v>1453.45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156"/>
        <v>49+ months</v>
      </c>
      <c r="X5020">
        <f t="shared" si="157"/>
        <v>1418.3999999999999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156"/>
        <v>37-48 months</v>
      </c>
      <c r="X5021">
        <f t="shared" si="157"/>
        <v>1338.3999999999999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156"/>
        <v>37-48 months</v>
      </c>
      <c r="X5022">
        <f t="shared" si="157"/>
        <v>813.85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156"/>
        <v>37-48 months</v>
      </c>
      <c r="X5023">
        <f t="shared" si="157"/>
        <v>1882.55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156"/>
        <v>49+ months</v>
      </c>
      <c r="X5024">
        <f t="shared" si="157"/>
        <v>7760.3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156"/>
        <v>0-12 months</v>
      </c>
      <c r="X5025">
        <f t="shared" si="157"/>
        <v>70.3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156"/>
        <v>49+ months</v>
      </c>
      <c r="X5026">
        <f t="shared" si="157"/>
        <v>1828.8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156"/>
        <v>0-12 months</v>
      </c>
      <c r="X5027">
        <f t="shared" si="157"/>
        <v>418.79999999999995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156"/>
        <v>37-48 months</v>
      </c>
      <c r="X5028">
        <f t="shared" si="157"/>
        <v>460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156"/>
        <v>0-12 months</v>
      </c>
      <c r="X5029">
        <f t="shared" si="157"/>
        <v>855.5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156"/>
        <v>49+ months</v>
      </c>
      <c r="X5030">
        <f t="shared" si="157"/>
        <v>7912.8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156"/>
        <v>0-12 months</v>
      </c>
      <c r="X5031">
        <f t="shared" si="157"/>
        <v>352.09999999999997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156"/>
        <v>0-12 months</v>
      </c>
      <c r="X5032">
        <f t="shared" si="157"/>
        <v>567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156"/>
        <v>0-12 months</v>
      </c>
      <c r="X5033">
        <f t="shared" si="157"/>
        <v>913.5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156"/>
        <v>0-12 months</v>
      </c>
      <c r="X5034">
        <f t="shared" si="157"/>
        <v>1069.8000000000002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156"/>
        <v>0-12 months</v>
      </c>
      <c r="X5035">
        <f t="shared" si="157"/>
        <v>19.399999999999999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156"/>
        <v>37-48 months</v>
      </c>
      <c r="X5036">
        <f t="shared" si="157"/>
        <v>1435.1999999999998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156"/>
        <v>37-48 months</v>
      </c>
      <c r="X5037">
        <f t="shared" si="157"/>
        <v>1576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156"/>
        <v>37-48 months</v>
      </c>
      <c r="X5038">
        <f t="shared" si="157"/>
        <v>1365.6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156"/>
        <v>0-12 months</v>
      </c>
      <c r="X5039">
        <f t="shared" si="157"/>
        <v>159.30000000000001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156"/>
        <v>0-12 months</v>
      </c>
      <c r="X5040">
        <f t="shared" si="157"/>
        <v>193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156"/>
        <v>0-12 months</v>
      </c>
      <c r="X5041">
        <f t="shared" si="157"/>
        <v>159.19999999999999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156"/>
        <v>37-48 months</v>
      </c>
      <c r="X5042">
        <f t="shared" si="157"/>
        <v>1936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156"/>
        <v>37-48 months</v>
      </c>
      <c r="X5043">
        <f t="shared" si="157"/>
        <v>413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156"/>
        <v>37-48 months</v>
      </c>
      <c r="X5044">
        <f t="shared" si="157"/>
        <v>376.2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156"/>
        <v>37-48 months</v>
      </c>
      <c r="X5045">
        <f t="shared" si="157"/>
        <v>1721.3999999999999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156"/>
        <v>37-48 months</v>
      </c>
      <c r="X5046">
        <f t="shared" si="157"/>
        <v>2301.1999999999998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156"/>
        <v>37-48 months</v>
      </c>
      <c r="X5047">
        <f t="shared" si="157"/>
        <v>2801.75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156"/>
        <v>0-12 months</v>
      </c>
      <c r="X5048">
        <f t="shared" si="157"/>
        <v>45.15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156"/>
        <v>37-48 months</v>
      </c>
      <c r="X5049">
        <f t="shared" si="157"/>
        <v>2852.8500000000004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156"/>
        <v>49+ months</v>
      </c>
      <c r="X5050">
        <f t="shared" si="157"/>
        <v>5351.4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156"/>
        <v>0-12 months</v>
      </c>
      <c r="X5051">
        <f t="shared" si="157"/>
        <v>20.2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156"/>
        <v>49+ months</v>
      </c>
      <c r="X5052">
        <f t="shared" si="157"/>
        <v>6999.3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156"/>
        <v>49+ months</v>
      </c>
      <c r="X5053">
        <f t="shared" si="157"/>
        <v>5899.5999999999995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156"/>
        <v>37-48 months</v>
      </c>
      <c r="X5054">
        <f t="shared" si="157"/>
        <v>821.69999999999993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156"/>
        <v>37-48 months</v>
      </c>
      <c r="X5055">
        <f t="shared" si="157"/>
        <v>1279.2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156"/>
        <v>49+ months</v>
      </c>
      <c r="X5056">
        <f t="shared" si="157"/>
        <v>3702.6000000000004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156"/>
        <v>49+ months</v>
      </c>
      <c r="X5057">
        <f t="shared" si="157"/>
        <v>1330.3000000000002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156"/>
        <v>49+ months</v>
      </c>
      <c r="X5058">
        <f t="shared" si="157"/>
        <v>6098.4000000000005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158">IF(F5059&lt;=12,"0-12 months",
IF(A5059&lt;=24,"13-24 months",
IF(A5059&lt;=36,"25-36 months",
IF(F5059&lt;=48,"37-48 months","49+ months"))))</f>
        <v>0-12 months</v>
      </c>
      <c r="X5059">
        <f t="shared" ref="X5059:X5122" si="159">S5059 * F5059</f>
        <v>682.65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158"/>
        <v>37-48 months</v>
      </c>
      <c r="X5060">
        <f t="shared" si="159"/>
        <v>1464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158"/>
        <v>37-48 months</v>
      </c>
      <c r="X5061">
        <f t="shared" si="159"/>
        <v>3569.4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158"/>
        <v>37-48 months</v>
      </c>
      <c r="X5062">
        <f t="shared" si="159"/>
        <v>633.6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158"/>
        <v>49+ months</v>
      </c>
      <c r="X5063">
        <f t="shared" si="159"/>
        <v>4193.75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158"/>
        <v>37-48 months</v>
      </c>
      <c r="X5064">
        <f t="shared" si="159"/>
        <v>2180.1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158"/>
        <v>37-48 months</v>
      </c>
      <c r="X5065">
        <f t="shared" si="159"/>
        <v>1729.35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158"/>
        <v>0-12 months</v>
      </c>
      <c r="X5066">
        <f t="shared" si="159"/>
        <v>80.8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158"/>
        <v>37-48 months</v>
      </c>
      <c r="X5067">
        <f t="shared" si="159"/>
        <v>821.69999999999993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158"/>
        <v>37-48 months</v>
      </c>
      <c r="X5068">
        <f t="shared" si="159"/>
        <v>2389.1999999999998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158"/>
        <v>37-48 months</v>
      </c>
      <c r="X5069">
        <f t="shared" si="159"/>
        <v>1989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158"/>
        <v>49+ months</v>
      </c>
      <c r="X5070">
        <f t="shared" si="159"/>
        <v>1483.8999999999999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158"/>
        <v>0-12 months</v>
      </c>
      <c r="X5071">
        <f t="shared" si="159"/>
        <v>301.39999999999998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158"/>
        <v>37-48 months</v>
      </c>
      <c r="X5072">
        <f t="shared" si="159"/>
        <v>2980.25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158"/>
        <v>0-12 months</v>
      </c>
      <c r="X5073">
        <f t="shared" si="159"/>
        <v>75.349999999999994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158"/>
        <v>37-48 months</v>
      </c>
      <c r="X5074">
        <f t="shared" si="159"/>
        <v>2402.35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158"/>
        <v>37-48 months</v>
      </c>
      <c r="X5075">
        <f t="shared" si="159"/>
        <v>1087.9000000000001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158"/>
        <v>49+ months</v>
      </c>
      <c r="X5076">
        <f t="shared" si="159"/>
        <v>953.05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158"/>
        <v>37-48 months</v>
      </c>
      <c r="X5077">
        <f t="shared" si="159"/>
        <v>3870.3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158"/>
        <v>37-48 months</v>
      </c>
      <c r="X5078">
        <f t="shared" si="159"/>
        <v>3095.4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158"/>
        <v>0-12 months</v>
      </c>
      <c r="X5079">
        <f t="shared" si="159"/>
        <v>138.95000000000002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158"/>
        <v>49+ months</v>
      </c>
      <c r="X5080">
        <f t="shared" si="159"/>
        <v>6716.75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158"/>
        <v>37-48 months</v>
      </c>
      <c r="X5081">
        <f t="shared" si="159"/>
        <v>1435.5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158"/>
        <v>49+ months</v>
      </c>
      <c r="X5082">
        <f t="shared" si="159"/>
        <v>6241.05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158"/>
        <v>49+ months</v>
      </c>
      <c r="X5083">
        <f t="shared" si="159"/>
        <v>3694.1000000000004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158"/>
        <v>37-48 months</v>
      </c>
      <c r="X5084">
        <f t="shared" si="159"/>
        <v>415.8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158"/>
        <v>37-48 months</v>
      </c>
      <c r="X5085">
        <f t="shared" si="159"/>
        <v>2854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158"/>
        <v>37-48 months</v>
      </c>
      <c r="X5086">
        <f t="shared" si="159"/>
        <v>456.5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158"/>
        <v>37-48 months</v>
      </c>
      <c r="X5087">
        <f t="shared" si="159"/>
        <v>1583.4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158"/>
        <v>37-48 months</v>
      </c>
      <c r="X5088">
        <f t="shared" si="159"/>
        <v>917.99999999999989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158"/>
        <v>0-12 months</v>
      </c>
      <c r="X5089">
        <f t="shared" si="159"/>
        <v>40.700000000000003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158"/>
        <v>49+ months</v>
      </c>
      <c r="X5090">
        <f t="shared" si="159"/>
        <v>1125.75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158"/>
        <v>0-12 months</v>
      </c>
      <c r="X5091">
        <f t="shared" si="159"/>
        <v>435.2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158"/>
        <v>0-12 months</v>
      </c>
      <c r="X5092">
        <f t="shared" si="159"/>
        <v>662.9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158"/>
        <v>0-12 months</v>
      </c>
      <c r="X5093">
        <f t="shared" si="159"/>
        <v>183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158"/>
        <v>0-12 months</v>
      </c>
      <c r="X5094">
        <f t="shared" si="159"/>
        <v>143.15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158"/>
        <v>49+ months</v>
      </c>
      <c r="X5095">
        <f t="shared" si="159"/>
        <v>3241.3500000000004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158"/>
        <v>49+ months</v>
      </c>
      <c r="X5096">
        <f t="shared" si="159"/>
        <v>5840.25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158"/>
        <v>49+ months</v>
      </c>
      <c r="X5097">
        <f t="shared" si="159"/>
        <v>2477.75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158"/>
        <v>49+ months</v>
      </c>
      <c r="X5098">
        <f t="shared" si="159"/>
        <v>6166.3499999999995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158"/>
        <v>37-48 months</v>
      </c>
      <c r="X5099">
        <f t="shared" si="159"/>
        <v>3386.25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158"/>
        <v>0-12 months</v>
      </c>
      <c r="X5100">
        <f t="shared" si="159"/>
        <v>231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158"/>
        <v>0-12 months</v>
      </c>
      <c r="X5101">
        <f t="shared" si="159"/>
        <v>221.10000000000002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158"/>
        <v>0-12 months</v>
      </c>
      <c r="X5102">
        <f t="shared" si="159"/>
        <v>75.3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158"/>
        <v>37-48 months</v>
      </c>
      <c r="X5103">
        <f t="shared" si="159"/>
        <v>1813.0500000000002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158"/>
        <v>49+ months</v>
      </c>
      <c r="X5104">
        <f t="shared" si="159"/>
        <v>7930.8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158"/>
        <v>37-48 months</v>
      </c>
      <c r="X5105">
        <f t="shared" si="159"/>
        <v>2319.7999999999997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158"/>
        <v>37-48 months</v>
      </c>
      <c r="X5106">
        <f t="shared" si="159"/>
        <v>361.8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158"/>
        <v>37-48 months</v>
      </c>
      <c r="X5107">
        <f t="shared" si="159"/>
        <v>3968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158"/>
        <v>49+ months</v>
      </c>
      <c r="X5108">
        <f t="shared" si="159"/>
        <v>3091.4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158"/>
        <v>37-48 months</v>
      </c>
      <c r="X5109">
        <f t="shared" si="159"/>
        <v>2754.2000000000003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158"/>
        <v>37-48 months</v>
      </c>
      <c r="X5110">
        <f t="shared" si="159"/>
        <v>1143.1000000000001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158"/>
        <v>49+ months</v>
      </c>
      <c r="X5111">
        <f t="shared" si="159"/>
        <v>4346.0999999999995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158"/>
        <v>0-12 months</v>
      </c>
      <c r="X5112">
        <f t="shared" si="159"/>
        <v>588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158"/>
        <v>37-48 months</v>
      </c>
      <c r="X5113">
        <f t="shared" si="159"/>
        <v>4018.5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158"/>
        <v>0-12 months</v>
      </c>
      <c r="X5114">
        <f t="shared" si="159"/>
        <v>140.35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158"/>
        <v>49+ months</v>
      </c>
      <c r="X5115">
        <f t="shared" si="159"/>
        <v>8069.1500000000005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158"/>
        <v>49+ months</v>
      </c>
      <c r="X5116">
        <f t="shared" si="159"/>
        <v>4170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158"/>
        <v>37-48 months</v>
      </c>
      <c r="X5117">
        <f t="shared" si="159"/>
        <v>3019.9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158"/>
        <v>0-12 months</v>
      </c>
      <c r="X5118">
        <f t="shared" si="159"/>
        <v>70.400000000000006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158"/>
        <v>49+ months</v>
      </c>
      <c r="X5119">
        <f t="shared" si="159"/>
        <v>4049.1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158"/>
        <v>37-48 months</v>
      </c>
      <c r="X5120">
        <f t="shared" si="159"/>
        <v>3607.8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158"/>
        <v>0-12 months</v>
      </c>
      <c r="X5121">
        <f t="shared" si="159"/>
        <v>378.25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158"/>
        <v>0-12 months</v>
      </c>
      <c r="X5122">
        <f t="shared" si="159"/>
        <v>348.25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160">IF(F5123&lt;=12,"0-12 months",
IF(A5123&lt;=24,"13-24 months",
IF(A5123&lt;=36,"25-36 months",
IF(F5123&lt;=48,"37-48 months","49+ months"))))</f>
        <v>37-48 months</v>
      </c>
      <c r="X5123">
        <f t="shared" ref="X5123:X5186" si="161">S5123 * F5123</f>
        <v>2056.1000000000004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160"/>
        <v>37-48 months</v>
      </c>
      <c r="X5124">
        <f t="shared" si="161"/>
        <v>1345.95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160"/>
        <v>37-48 months</v>
      </c>
      <c r="X5125">
        <f t="shared" si="161"/>
        <v>1129.5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160"/>
        <v>37-48 months</v>
      </c>
      <c r="X5126">
        <f t="shared" si="161"/>
        <v>502.50000000000006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160"/>
        <v>0-12 months</v>
      </c>
      <c r="X5127">
        <f t="shared" si="161"/>
        <v>1034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160"/>
        <v>49+ months</v>
      </c>
      <c r="X5128">
        <f t="shared" si="161"/>
        <v>5873.8499999999995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160"/>
        <v>49+ months</v>
      </c>
      <c r="X5129">
        <f t="shared" si="161"/>
        <v>7929.45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160"/>
        <v>37-48 months</v>
      </c>
      <c r="X5130">
        <f t="shared" si="161"/>
        <v>4685.9000000000005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160"/>
        <v>37-48 months</v>
      </c>
      <c r="X5131">
        <f t="shared" si="161"/>
        <v>1064.7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160"/>
        <v>0-12 months</v>
      </c>
      <c r="X5132">
        <f t="shared" si="161"/>
        <v>243.6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160"/>
        <v>37-48 months</v>
      </c>
      <c r="X5133">
        <f t="shared" si="161"/>
        <v>4228.3999999999996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160"/>
        <v>49+ months</v>
      </c>
      <c r="X5134">
        <f t="shared" si="161"/>
        <v>4700.2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160"/>
        <v>37-48 months</v>
      </c>
      <c r="X5135">
        <f t="shared" si="161"/>
        <v>2502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160"/>
        <v>37-48 months</v>
      </c>
      <c r="X5136">
        <f t="shared" si="161"/>
        <v>1203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160"/>
        <v>0-12 months</v>
      </c>
      <c r="X5137">
        <f t="shared" si="161"/>
        <v>19.75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160"/>
        <v>0-12 months</v>
      </c>
      <c r="X5138">
        <f t="shared" si="161"/>
        <v>145.19999999999999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160"/>
        <v>49+ months</v>
      </c>
      <c r="X5139">
        <f t="shared" si="161"/>
        <v>6407.5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160"/>
        <v>49+ months</v>
      </c>
      <c r="X5140">
        <f t="shared" si="161"/>
        <v>7582.8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160"/>
        <v>49+ months</v>
      </c>
      <c r="X5141">
        <f t="shared" si="161"/>
        <v>1247.5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160"/>
        <v>0-12 months</v>
      </c>
      <c r="X5142">
        <f t="shared" si="161"/>
        <v>89.25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160"/>
        <v>0-12 months</v>
      </c>
      <c r="X5143">
        <f t="shared" si="161"/>
        <v>96.25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160"/>
        <v>49+ months</v>
      </c>
      <c r="X5144">
        <f t="shared" si="161"/>
        <v>6900.3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160"/>
        <v>49+ months</v>
      </c>
      <c r="X5145">
        <f t="shared" si="161"/>
        <v>4272.8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160"/>
        <v>0-12 months</v>
      </c>
      <c r="X5146">
        <f t="shared" si="161"/>
        <v>92.25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160"/>
        <v>49+ months</v>
      </c>
      <c r="X5147">
        <f t="shared" si="161"/>
        <v>1696.2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160"/>
        <v>0-12 months</v>
      </c>
      <c r="X5148">
        <f t="shared" si="161"/>
        <v>948.2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160"/>
        <v>37-48 months</v>
      </c>
      <c r="X5149">
        <f t="shared" si="161"/>
        <v>842.80000000000007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160"/>
        <v>49+ months</v>
      </c>
      <c r="X5150">
        <f t="shared" si="161"/>
        <v>6457.75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160"/>
        <v>49+ months</v>
      </c>
      <c r="X5151">
        <f t="shared" si="161"/>
        <v>1190.3999999999999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160"/>
        <v>0-12 months</v>
      </c>
      <c r="X5152">
        <f t="shared" si="161"/>
        <v>40.200000000000003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160"/>
        <v>0-12 months</v>
      </c>
      <c r="X5153">
        <f t="shared" si="161"/>
        <v>40.700000000000003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160"/>
        <v>49+ months</v>
      </c>
      <c r="X5154">
        <f t="shared" si="161"/>
        <v>1410.75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160"/>
        <v>37-48 months</v>
      </c>
      <c r="X5155">
        <f t="shared" si="161"/>
        <v>3876.5499999999997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160"/>
        <v>37-48 months</v>
      </c>
      <c r="X5156">
        <f t="shared" si="161"/>
        <v>1771.4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160"/>
        <v>37-48 months</v>
      </c>
      <c r="X5157">
        <f t="shared" si="161"/>
        <v>2832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160"/>
        <v>37-48 months</v>
      </c>
      <c r="X5158">
        <f t="shared" si="161"/>
        <v>953.7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160"/>
        <v>37-48 months</v>
      </c>
      <c r="X5159">
        <f t="shared" si="161"/>
        <v>1092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160"/>
        <v>49+ months</v>
      </c>
      <c r="X5160">
        <f t="shared" si="161"/>
        <v>1782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160"/>
        <v>0-12 months</v>
      </c>
      <c r="X5161">
        <f t="shared" si="161"/>
        <v>686.25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160"/>
        <v>0-12 months</v>
      </c>
      <c r="X5162">
        <f t="shared" si="161"/>
        <v>74.349999999999994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160"/>
        <v>37-48 months</v>
      </c>
      <c r="X5163">
        <f t="shared" si="161"/>
        <v>1245.45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160"/>
        <v>0-12 months</v>
      </c>
      <c r="X5164">
        <f t="shared" si="161"/>
        <v>155.6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160"/>
        <v>37-48 months</v>
      </c>
      <c r="X5165">
        <f t="shared" si="161"/>
        <v>664.05000000000007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160"/>
        <v>0-12 months</v>
      </c>
      <c r="X5166">
        <f t="shared" si="161"/>
        <v>375.55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160"/>
        <v>0-12 months</v>
      </c>
      <c r="X5167">
        <f t="shared" si="161"/>
        <v>69.650000000000006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160"/>
        <v>49+ months</v>
      </c>
      <c r="X5168">
        <f t="shared" si="161"/>
        <v>6344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160"/>
        <v>49+ months</v>
      </c>
      <c r="X5169">
        <f t="shared" si="161"/>
        <v>4009.95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160"/>
        <v>0-12 months</v>
      </c>
      <c r="X5170">
        <f t="shared" si="161"/>
        <v>727.19999999999993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160"/>
        <v>37-48 months</v>
      </c>
      <c r="X5171">
        <f t="shared" si="161"/>
        <v>972.74999999999989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160"/>
        <v>0-12 months</v>
      </c>
      <c r="X5172">
        <f t="shared" si="161"/>
        <v>19.649999999999999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160"/>
        <v>0-12 months</v>
      </c>
      <c r="X5173">
        <f t="shared" si="161"/>
        <v>550.79999999999995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160"/>
        <v>49+ months</v>
      </c>
      <c r="X5174">
        <f t="shared" si="161"/>
        <v>1080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160"/>
        <v>0-12 months</v>
      </c>
      <c r="X5175">
        <f t="shared" si="161"/>
        <v>179.2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160"/>
        <v>0-12 months</v>
      </c>
      <c r="X5176">
        <f t="shared" si="161"/>
        <v>562.1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160"/>
        <v>37-48 months</v>
      </c>
      <c r="X5177">
        <f t="shared" si="161"/>
        <v>407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160"/>
        <v>37-48 months</v>
      </c>
      <c r="X5178">
        <f t="shared" si="161"/>
        <v>1190.8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160"/>
        <v>37-48 months</v>
      </c>
      <c r="X5179">
        <f t="shared" si="161"/>
        <v>3027.6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160"/>
        <v>49+ months</v>
      </c>
      <c r="X5180">
        <f t="shared" si="161"/>
        <v>5774.35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160"/>
        <v>0-12 months</v>
      </c>
      <c r="X5181">
        <f t="shared" si="161"/>
        <v>208.04999999999998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160"/>
        <v>49+ months</v>
      </c>
      <c r="X5182">
        <f t="shared" si="161"/>
        <v>4375.7999999999993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160"/>
        <v>49+ months</v>
      </c>
      <c r="X5183">
        <f t="shared" si="161"/>
        <v>6537.5999999999995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160"/>
        <v>0-12 months</v>
      </c>
      <c r="X5184">
        <f t="shared" si="161"/>
        <v>299.39999999999998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160"/>
        <v>37-48 months</v>
      </c>
      <c r="X5185">
        <f t="shared" si="161"/>
        <v>2706.3999999999996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160"/>
        <v>49+ months</v>
      </c>
      <c r="X5186">
        <f t="shared" si="161"/>
        <v>5759.6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162">IF(F5187&lt;=12,"0-12 months",
IF(A5187&lt;=24,"13-24 months",
IF(A5187&lt;=36,"25-36 months",
IF(F5187&lt;=48,"37-48 months","49+ months"))))</f>
        <v>49+ months</v>
      </c>
      <c r="X5187">
        <f t="shared" ref="X5187:X5250" si="163">S5187 * F5187</f>
        <v>3540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162"/>
        <v>0-12 months</v>
      </c>
      <c r="X5188">
        <f t="shared" si="163"/>
        <v>36.450000000000003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162"/>
        <v>37-48 months</v>
      </c>
      <c r="X5189">
        <f t="shared" si="163"/>
        <v>4280.4000000000005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162"/>
        <v>37-48 months</v>
      </c>
      <c r="X5190">
        <f t="shared" si="163"/>
        <v>3045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162"/>
        <v>0-12 months</v>
      </c>
      <c r="X5191">
        <f t="shared" si="163"/>
        <v>54.3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162"/>
        <v>37-48 months</v>
      </c>
      <c r="X5192">
        <f t="shared" si="163"/>
        <v>3014.55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162"/>
        <v>37-48 months</v>
      </c>
      <c r="X5193">
        <f t="shared" si="163"/>
        <v>2095.2999999999997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162"/>
        <v>49+ months</v>
      </c>
      <c r="X5194">
        <f t="shared" si="163"/>
        <v>1197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162"/>
        <v>49+ months</v>
      </c>
      <c r="X5195">
        <f t="shared" si="163"/>
        <v>1904.3999999999999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162"/>
        <v>37-48 months</v>
      </c>
      <c r="X5196">
        <f t="shared" si="163"/>
        <v>1966.8000000000002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162"/>
        <v>49+ months</v>
      </c>
      <c r="X5197">
        <f t="shared" si="163"/>
        <v>5407.2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162"/>
        <v>49+ months</v>
      </c>
      <c r="X5198">
        <f t="shared" si="163"/>
        <v>7134.5999999999995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162"/>
        <v>49+ months</v>
      </c>
      <c r="X5199">
        <f t="shared" si="163"/>
        <v>7930.8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162"/>
        <v>37-48 months</v>
      </c>
      <c r="X5200">
        <f t="shared" si="163"/>
        <v>3776.45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162"/>
        <v>49+ months</v>
      </c>
      <c r="X5201">
        <f t="shared" si="163"/>
        <v>5686.5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162"/>
        <v>49+ months</v>
      </c>
      <c r="X5202">
        <f t="shared" si="163"/>
        <v>7455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162"/>
        <v>0-12 months</v>
      </c>
      <c r="X5203">
        <f t="shared" si="163"/>
        <v>179.1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162"/>
        <v>49+ months</v>
      </c>
      <c r="X5204">
        <f t="shared" si="163"/>
        <v>6554.9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162"/>
        <v>0-12 months</v>
      </c>
      <c r="X5205">
        <f t="shared" si="163"/>
        <v>212.10000000000002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162"/>
        <v>37-48 months</v>
      </c>
      <c r="X5206">
        <f t="shared" si="163"/>
        <v>944.30000000000007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162"/>
        <v>37-48 months</v>
      </c>
      <c r="X5207">
        <f t="shared" si="163"/>
        <v>3374.4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162"/>
        <v>37-48 months</v>
      </c>
      <c r="X5208">
        <f t="shared" si="163"/>
        <v>2427.1999999999998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162"/>
        <v>37-48 months</v>
      </c>
      <c r="X5209">
        <f t="shared" si="163"/>
        <v>975.59999999999991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162"/>
        <v>37-48 months</v>
      </c>
      <c r="X5210">
        <f t="shared" si="163"/>
        <v>832.30000000000007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162"/>
        <v>49+ months</v>
      </c>
      <c r="X5211">
        <f t="shared" si="163"/>
        <v>7916.4000000000005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162"/>
        <v>49+ months</v>
      </c>
      <c r="X5212">
        <f t="shared" si="163"/>
        <v>3203.8500000000004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162"/>
        <v>0-12 months</v>
      </c>
      <c r="X5213">
        <f t="shared" si="163"/>
        <v>679.2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162"/>
        <v>49+ months</v>
      </c>
      <c r="X5214">
        <f t="shared" si="163"/>
        <v>2772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162"/>
        <v>37-48 months</v>
      </c>
      <c r="X5215">
        <f t="shared" si="163"/>
        <v>1573.35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162"/>
        <v>0-12 months</v>
      </c>
      <c r="X5216">
        <f t="shared" si="163"/>
        <v>147.1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162"/>
        <v>0-12 months</v>
      </c>
      <c r="X5217">
        <f t="shared" si="163"/>
        <v>161.19999999999999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162"/>
        <v>37-48 months</v>
      </c>
      <c r="X5218">
        <f t="shared" si="163"/>
        <v>1665.6000000000001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162"/>
        <v>0-12 months</v>
      </c>
      <c r="X5219">
        <f t="shared" si="163"/>
        <v>245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162"/>
        <v>0-12 months</v>
      </c>
      <c r="X5220">
        <f t="shared" si="163"/>
        <v>0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162"/>
        <v>0-12 months</v>
      </c>
      <c r="X5221">
        <f t="shared" si="163"/>
        <v>20.6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162"/>
        <v>37-48 months</v>
      </c>
      <c r="X5222">
        <f t="shared" si="163"/>
        <v>1682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162"/>
        <v>49+ months</v>
      </c>
      <c r="X5223">
        <f t="shared" si="163"/>
        <v>6984.25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162"/>
        <v>0-12 months</v>
      </c>
      <c r="X5224">
        <f t="shared" si="163"/>
        <v>524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162"/>
        <v>49+ months</v>
      </c>
      <c r="X5225">
        <f t="shared" si="163"/>
        <v>1552.45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162"/>
        <v>37-48 months</v>
      </c>
      <c r="X5226">
        <f t="shared" si="163"/>
        <v>4506.75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162"/>
        <v>49+ months</v>
      </c>
      <c r="X5227">
        <f t="shared" si="163"/>
        <v>7520.4000000000005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162"/>
        <v>0-12 months</v>
      </c>
      <c r="X5228">
        <f t="shared" si="163"/>
        <v>253.79999999999998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162"/>
        <v>0-12 months</v>
      </c>
      <c r="X5229">
        <f t="shared" si="163"/>
        <v>673.4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162"/>
        <v>0-12 months</v>
      </c>
      <c r="X5230">
        <f t="shared" si="163"/>
        <v>399.59999999999997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162"/>
        <v>37-48 months</v>
      </c>
      <c r="X5231">
        <f t="shared" si="163"/>
        <v>4624.6499999999996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162"/>
        <v>49+ months</v>
      </c>
      <c r="X5232">
        <f t="shared" si="163"/>
        <v>5472.2999999999993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162"/>
        <v>37-48 months</v>
      </c>
      <c r="X5233">
        <f t="shared" si="163"/>
        <v>1580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162"/>
        <v>0-12 months</v>
      </c>
      <c r="X5234">
        <f t="shared" si="163"/>
        <v>40.6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162"/>
        <v>0-12 months</v>
      </c>
      <c r="X5235">
        <f t="shared" si="163"/>
        <v>809.2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162"/>
        <v>37-48 months</v>
      </c>
      <c r="X5236">
        <f t="shared" si="163"/>
        <v>4230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162"/>
        <v>0-12 months</v>
      </c>
      <c r="X5237">
        <f t="shared" si="163"/>
        <v>730.35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162"/>
        <v>37-48 months</v>
      </c>
      <c r="X5238">
        <f t="shared" si="163"/>
        <v>3671.5499999999997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162"/>
        <v>37-48 months</v>
      </c>
      <c r="X5239">
        <f t="shared" si="163"/>
        <v>1423.5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162"/>
        <v>37-48 months</v>
      </c>
      <c r="X5240">
        <f t="shared" si="163"/>
        <v>1773.75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162"/>
        <v>49+ months</v>
      </c>
      <c r="X5241">
        <f t="shared" si="163"/>
        <v>7191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162"/>
        <v>49+ months</v>
      </c>
      <c r="X5242">
        <f t="shared" si="163"/>
        <v>6880.25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162"/>
        <v>49+ months</v>
      </c>
      <c r="X5243">
        <f t="shared" si="163"/>
        <v>3531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162"/>
        <v>37-48 months</v>
      </c>
      <c r="X5244">
        <f t="shared" si="163"/>
        <v>1774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162"/>
        <v>37-48 months</v>
      </c>
      <c r="X5245">
        <f t="shared" si="163"/>
        <v>1666.3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162"/>
        <v>37-48 months</v>
      </c>
      <c r="X5246">
        <f t="shared" si="163"/>
        <v>4018.5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162"/>
        <v>49+ months</v>
      </c>
      <c r="X5247">
        <f t="shared" si="163"/>
        <v>1410.5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162"/>
        <v>0-12 months</v>
      </c>
      <c r="X5248">
        <f t="shared" si="163"/>
        <v>159.5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162"/>
        <v>37-48 months</v>
      </c>
      <c r="X5249">
        <f t="shared" si="163"/>
        <v>2552.85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162"/>
        <v>0-12 months</v>
      </c>
      <c r="X5250">
        <f t="shared" si="163"/>
        <v>240.60000000000002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164">IF(F5251&lt;=12,"0-12 months",
IF(A5251&lt;=24,"13-24 months",
IF(A5251&lt;=36,"25-36 months",
IF(F5251&lt;=48,"37-48 months","49+ months"))))</f>
        <v>49+ months</v>
      </c>
      <c r="X5251">
        <f t="shared" ref="X5251:X5314" si="165">S5251 * F5251</f>
        <v>4838.4000000000005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164"/>
        <v>0-12 months</v>
      </c>
      <c r="X5252">
        <f t="shared" si="165"/>
        <v>1134.5999999999999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164"/>
        <v>0-12 months</v>
      </c>
      <c r="X5253">
        <f t="shared" si="165"/>
        <v>345.25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164"/>
        <v>49+ months</v>
      </c>
      <c r="X5254">
        <f t="shared" si="165"/>
        <v>7632.5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164"/>
        <v>37-48 months</v>
      </c>
      <c r="X5255">
        <f t="shared" si="165"/>
        <v>2555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164"/>
        <v>49+ months</v>
      </c>
      <c r="X5256">
        <f t="shared" si="165"/>
        <v>8032.5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164"/>
        <v>37-48 months</v>
      </c>
      <c r="X5257">
        <f t="shared" si="165"/>
        <v>2357.5499999999997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164"/>
        <v>49+ months</v>
      </c>
      <c r="X5258">
        <f t="shared" si="165"/>
        <v>5005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164"/>
        <v>37-48 months</v>
      </c>
      <c r="X5259">
        <f t="shared" si="165"/>
        <v>3740.7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164"/>
        <v>49+ months</v>
      </c>
      <c r="X5260">
        <f t="shared" si="165"/>
        <v>7224.3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164"/>
        <v>37-48 months</v>
      </c>
      <c r="X5261">
        <f t="shared" si="165"/>
        <v>2337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164"/>
        <v>37-48 months</v>
      </c>
      <c r="X5262">
        <f t="shared" si="165"/>
        <v>2991.4500000000003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164"/>
        <v>49+ months</v>
      </c>
      <c r="X5263">
        <f t="shared" si="165"/>
        <v>5964.3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164"/>
        <v>49+ months</v>
      </c>
      <c r="X5264">
        <f t="shared" si="165"/>
        <v>4053.3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164"/>
        <v>49+ months</v>
      </c>
      <c r="X5265">
        <f t="shared" si="165"/>
        <v>2466.75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164"/>
        <v>49+ months</v>
      </c>
      <c r="X5266">
        <f t="shared" si="165"/>
        <v>2056.2000000000003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164"/>
        <v>49+ months</v>
      </c>
      <c r="X5267">
        <f t="shared" si="165"/>
        <v>5867.4000000000005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164"/>
        <v>37-48 months</v>
      </c>
      <c r="X5268">
        <f t="shared" si="165"/>
        <v>2173.75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164"/>
        <v>0-12 months</v>
      </c>
      <c r="X5269">
        <f t="shared" si="165"/>
        <v>178.65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164"/>
        <v>49+ months</v>
      </c>
      <c r="X5270">
        <f t="shared" si="165"/>
        <v>5996.1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164"/>
        <v>0-12 months</v>
      </c>
      <c r="X5271">
        <f t="shared" si="165"/>
        <v>596.5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164"/>
        <v>37-48 months</v>
      </c>
      <c r="X5272">
        <f t="shared" si="165"/>
        <v>2210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164"/>
        <v>37-48 months</v>
      </c>
      <c r="X5273">
        <f t="shared" si="165"/>
        <v>863.2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164"/>
        <v>0-12 months</v>
      </c>
      <c r="X5274">
        <f t="shared" si="165"/>
        <v>540.59999999999991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164"/>
        <v>49+ months</v>
      </c>
      <c r="X5275">
        <f t="shared" si="165"/>
        <v>1390.35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164"/>
        <v>49+ months</v>
      </c>
      <c r="X5276">
        <f t="shared" si="165"/>
        <v>7134.5999999999995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164"/>
        <v>0-12 months</v>
      </c>
      <c r="X5277">
        <f t="shared" si="165"/>
        <v>591.25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164"/>
        <v>37-48 months</v>
      </c>
      <c r="X5278">
        <f t="shared" si="165"/>
        <v>2617.4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164"/>
        <v>0-12 months</v>
      </c>
      <c r="X5279">
        <f t="shared" si="165"/>
        <v>535.79999999999995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164"/>
        <v>49+ months</v>
      </c>
      <c r="X5280">
        <f t="shared" si="165"/>
        <v>6137.5999999999995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164"/>
        <v>49+ months</v>
      </c>
      <c r="X5281">
        <f t="shared" si="165"/>
        <v>1760.5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164"/>
        <v>37-48 months</v>
      </c>
      <c r="X5282">
        <f t="shared" si="165"/>
        <v>2611.9500000000003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164"/>
        <v>49+ months</v>
      </c>
      <c r="X5283">
        <f t="shared" si="165"/>
        <v>4806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164"/>
        <v>0-12 months</v>
      </c>
      <c r="X5284">
        <f t="shared" si="165"/>
        <v>285.60000000000002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164"/>
        <v>37-48 months</v>
      </c>
      <c r="X5285">
        <f t="shared" si="165"/>
        <v>927.19999999999993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164"/>
        <v>0-12 months</v>
      </c>
      <c r="X5286">
        <f t="shared" si="165"/>
        <v>228.5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164"/>
        <v>49+ months</v>
      </c>
      <c r="X5287">
        <f t="shared" si="165"/>
        <v>5729.7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164"/>
        <v>0-12 months</v>
      </c>
      <c r="X5288">
        <f t="shared" si="165"/>
        <v>596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164"/>
        <v>0-12 months</v>
      </c>
      <c r="X5289">
        <f t="shared" si="165"/>
        <v>20.55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164"/>
        <v>0-12 months</v>
      </c>
      <c r="X5290">
        <f t="shared" si="165"/>
        <v>79.650000000000006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164"/>
        <v>49+ months</v>
      </c>
      <c r="X5291">
        <f t="shared" si="165"/>
        <v>7021.0999999999995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164"/>
        <v>49+ months</v>
      </c>
      <c r="X5292">
        <f t="shared" si="165"/>
        <v>4238.7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164"/>
        <v>49+ months</v>
      </c>
      <c r="X5293">
        <f t="shared" si="165"/>
        <v>5878.6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164"/>
        <v>37-48 months</v>
      </c>
      <c r="X5294">
        <f t="shared" si="165"/>
        <v>1550.2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164"/>
        <v>37-48 months</v>
      </c>
      <c r="X5295">
        <f t="shared" si="165"/>
        <v>2643.2999999999997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164"/>
        <v>49+ months</v>
      </c>
      <c r="X5296">
        <f t="shared" si="165"/>
        <v>5514.65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164"/>
        <v>49+ months</v>
      </c>
      <c r="X5297">
        <f t="shared" si="165"/>
        <v>5437.5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164"/>
        <v>49+ months</v>
      </c>
      <c r="X5298">
        <f t="shared" si="165"/>
        <v>2342.7000000000003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164"/>
        <v>49+ months</v>
      </c>
      <c r="X5299">
        <f t="shared" si="165"/>
        <v>1098.9000000000001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164"/>
        <v>49+ months</v>
      </c>
      <c r="X5300">
        <f t="shared" si="165"/>
        <v>6354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164"/>
        <v>37-48 months</v>
      </c>
      <c r="X5301">
        <f t="shared" si="165"/>
        <v>2836.4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164"/>
        <v>0-12 months</v>
      </c>
      <c r="X5302">
        <f t="shared" si="165"/>
        <v>80.05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164"/>
        <v>37-48 months</v>
      </c>
      <c r="X5303">
        <f t="shared" si="165"/>
        <v>2586.8000000000002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164"/>
        <v>0-12 months</v>
      </c>
      <c r="X5304">
        <f t="shared" si="165"/>
        <v>655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164"/>
        <v>37-48 months</v>
      </c>
      <c r="X5305">
        <f t="shared" si="165"/>
        <v>1739.3500000000001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164"/>
        <v>37-48 months</v>
      </c>
      <c r="X5306">
        <f t="shared" si="165"/>
        <v>915.85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164"/>
        <v>37-48 months</v>
      </c>
      <c r="X5307">
        <f t="shared" si="165"/>
        <v>3388.4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164"/>
        <v>37-48 months</v>
      </c>
      <c r="X5308">
        <f t="shared" si="165"/>
        <v>1589.3500000000001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164"/>
        <v>0-12 months</v>
      </c>
      <c r="X5309">
        <f t="shared" si="165"/>
        <v>90.1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164"/>
        <v>49+ months</v>
      </c>
      <c r="X5310">
        <f t="shared" si="165"/>
        <v>5689.05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164"/>
        <v>49+ months</v>
      </c>
      <c r="X5311">
        <f t="shared" si="165"/>
        <v>1235.25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164"/>
        <v>37-48 months</v>
      </c>
      <c r="X5312">
        <f t="shared" si="165"/>
        <v>2848.75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164"/>
        <v>0-12 months</v>
      </c>
      <c r="X5313">
        <f t="shared" si="165"/>
        <v>117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164"/>
        <v>0-12 months</v>
      </c>
      <c r="X5314">
        <f t="shared" si="165"/>
        <v>51.25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166">IF(F5315&lt;=12,"0-12 months",
IF(A5315&lt;=24,"13-24 months",
IF(A5315&lt;=36,"25-36 months",
IF(F5315&lt;=48,"37-48 months","49+ months"))))</f>
        <v>49+ months</v>
      </c>
      <c r="X5315">
        <f t="shared" ref="X5315:X5378" si="167">S5315 * F5315</f>
        <v>5023.2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166"/>
        <v>49+ months</v>
      </c>
      <c r="X5316">
        <f t="shared" si="167"/>
        <v>4518.5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166"/>
        <v>0-12 months</v>
      </c>
      <c r="X5317">
        <f t="shared" si="167"/>
        <v>45.6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166"/>
        <v>49+ months</v>
      </c>
      <c r="X5318">
        <f t="shared" si="167"/>
        <v>4588.8500000000004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166"/>
        <v>0-12 months</v>
      </c>
      <c r="X5319">
        <f t="shared" si="167"/>
        <v>297.89999999999998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166"/>
        <v>37-48 months</v>
      </c>
      <c r="X5320">
        <f t="shared" si="167"/>
        <v>2355.1999999999998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166"/>
        <v>49+ months</v>
      </c>
      <c r="X5321">
        <f t="shared" si="167"/>
        <v>7902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166"/>
        <v>37-48 months</v>
      </c>
      <c r="X5322">
        <f t="shared" si="167"/>
        <v>2273.65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166"/>
        <v>49+ months</v>
      </c>
      <c r="X5323">
        <f t="shared" si="167"/>
        <v>7341.6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166"/>
        <v>37-48 months</v>
      </c>
      <c r="X5324">
        <f t="shared" si="167"/>
        <v>2129.4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166"/>
        <v>49+ months</v>
      </c>
      <c r="X5325">
        <f t="shared" si="167"/>
        <v>6101.6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166"/>
        <v>37-48 months</v>
      </c>
      <c r="X5326">
        <f t="shared" si="167"/>
        <v>1310.4000000000001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166"/>
        <v>0-12 months</v>
      </c>
      <c r="X5327">
        <f t="shared" si="167"/>
        <v>102.75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166"/>
        <v>37-48 months</v>
      </c>
      <c r="X5328">
        <f t="shared" si="167"/>
        <v>300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166"/>
        <v>37-48 months</v>
      </c>
      <c r="X5329">
        <f t="shared" si="167"/>
        <v>591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166"/>
        <v>49+ months</v>
      </c>
      <c r="X5330">
        <f t="shared" si="167"/>
        <v>3632.75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166"/>
        <v>37-48 months</v>
      </c>
      <c r="X5331">
        <f t="shared" si="167"/>
        <v>850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166"/>
        <v>0-12 months</v>
      </c>
      <c r="X5332">
        <f t="shared" si="167"/>
        <v>925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166"/>
        <v>37-48 months</v>
      </c>
      <c r="X5333">
        <f t="shared" si="167"/>
        <v>2378.1999999999998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166"/>
        <v>37-48 months</v>
      </c>
      <c r="X5334">
        <f t="shared" si="167"/>
        <v>2768.2999999999997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166"/>
        <v>37-48 months</v>
      </c>
      <c r="X5335">
        <f t="shared" si="167"/>
        <v>1148.55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166"/>
        <v>49+ months</v>
      </c>
      <c r="X5336">
        <f t="shared" si="167"/>
        <v>5289.55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166"/>
        <v>49+ months</v>
      </c>
      <c r="X5337">
        <f t="shared" si="167"/>
        <v>6201.6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166"/>
        <v>0-12 months</v>
      </c>
      <c r="X5338">
        <f t="shared" si="167"/>
        <v>19.100000000000001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166"/>
        <v>37-48 months</v>
      </c>
      <c r="X5339">
        <f t="shared" si="167"/>
        <v>1000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166"/>
        <v>37-48 months</v>
      </c>
      <c r="X5340">
        <f t="shared" si="167"/>
        <v>1679.8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166"/>
        <v>37-48 months</v>
      </c>
      <c r="X5341">
        <f t="shared" si="167"/>
        <v>2563.5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166"/>
        <v>37-48 months</v>
      </c>
      <c r="X5342">
        <f t="shared" si="167"/>
        <v>3195.7999999999997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166"/>
        <v>0-12 months</v>
      </c>
      <c r="X5343">
        <f t="shared" si="167"/>
        <v>74.45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166"/>
        <v>37-48 months</v>
      </c>
      <c r="X5344">
        <f t="shared" si="167"/>
        <v>2395.75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166"/>
        <v>49+ months</v>
      </c>
      <c r="X5345">
        <f t="shared" si="167"/>
        <v>3445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166"/>
        <v>49+ months</v>
      </c>
      <c r="X5346">
        <f t="shared" si="167"/>
        <v>5459.9000000000005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166"/>
        <v>37-48 months</v>
      </c>
      <c r="X5347">
        <f t="shared" si="167"/>
        <v>2334.7999999999997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166"/>
        <v>49+ months</v>
      </c>
      <c r="X5348">
        <f t="shared" si="167"/>
        <v>4923.5999999999995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166"/>
        <v>49+ months</v>
      </c>
      <c r="X5349">
        <f t="shared" si="167"/>
        <v>8420.4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166"/>
        <v>37-48 months</v>
      </c>
      <c r="X5350">
        <f t="shared" si="167"/>
        <v>1016.25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166"/>
        <v>49+ months</v>
      </c>
      <c r="X5351">
        <f t="shared" si="167"/>
        <v>7890.15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166"/>
        <v>49+ months</v>
      </c>
      <c r="X5352">
        <f t="shared" si="167"/>
        <v>3694.1000000000004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166"/>
        <v>0-12 months</v>
      </c>
      <c r="X5353">
        <f t="shared" si="167"/>
        <v>1146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166"/>
        <v>37-48 months</v>
      </c>
      <c r="X5354">
        <f t="shared" si="167"/>
        <v>2564.9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166"/>
        <v>37-48 months</v>
      </c>
      <c r="X5355">
        <f t="shared" si="167"/>
        <v>1294.6499999999999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166"/>
        <v>0-12 months</v>
      </c>
      <c r="X5356">
        <f t="shared" si="167"/>
        <v>89.35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166"/>
        <v>37-48 months</v>
      </c>
      <c r="X5357">
        <f t="shared" si="167"/>
        <v>4579.2000000000007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166"/>
        <v>37-48 months</v>
      </c>
      <c r="X5358">
        <f t="shared" si="167"/>
        <v>920.4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166"/>
        <v>49+ months</v>
      </c>
      <c r="X5359">
        <f t="shared" si="167"/>
        <v>1197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166"/>
        <v>37-48 months</v>
      </c>
      <c r="X5360">
        <f t="shared" si="167"/>
        <v>346.5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166"/>
        <v>0-12 months</v>
      </c>
      <c r="X5361">
        <f t="shared" si="167"/>
        <v>296.5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166"/>
        <v>0-12 months</v>
      </c>
      <c r="X5362">
        <f t="shared" si="167"/>
        <v>422.5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166"/>
        <v>0-12 months</v>
      </c>
      <c r="X5363">
        <f t="shared" si="167"/>
        <v>81.599999999999994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166"/>
        <v>49+ months</v>
      </c>
      <c r="X5364">
        <f t="shared" si="167"/>
        <v>1608.75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166"/>
        <v>49+ months</v>
      </c>
      <c r="X5365">
        <f t="shared" si="167"/>
        <v>1774.5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166"/>
        <v>37-48 months</v>
      </c>
      <c r="X5366">
        <f t="shared" si="167"/>
        <v>1632.6000000000001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166"/>
        <v>49+ months</v>
      </c>
      <c r="X5367">
        <f t="shared" si="167"/>
        <v>1240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166"/>
        <v>49+ months</v>
      </c>
      <c r="X5368">
        <f t="shared" si="167"/>
        <v>3943.5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166"/>
        <v>49+ months</v>
      </c>
      <c r="X5369">
        <f t="shared" si="167"/>
        <v>5362.5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166"/>
        <v>0-12 months</v>
      </c>
      <c r="X5370">
        <f t="shared" si="167"/>
        <v>210.89999999999998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166"/>
        <v>37-48 months</v>
      </c>
      <c r="X5371">
        <f t="shared" si="167"/>
        <v>691.90000000000009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166"/>
        <v>37-48 months</v>
      </c>
      <c r="X5372">
        <f t="shared" si="167"/>
        <v>1452.8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166"/>
        <v>49+ months</v>
      </c>
      <c r="X5373">
        <f t="shared" si="167"/>
        <v>5613.3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166"/>
        <v>49+ months</v>
      </c>
      <c r="X5374">
        <f t="shared" si="167"/>
        <v>5247.5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166"/>
        <v>49+ months</v>
      </c>
      <c r="X5375">
        <f t="shared" si="167"/>
        <v>7472.75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166"/>
        <v>0-12 months</v>
      </c>
      <c r="X5376">
        <f t="shared" si="167"/>
        <v>747.5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166"/>
        <v>0-12 months</v>
      </c>
      <c r="X5377">
        <f t="shared" si="167"/>
        <v>50.8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166"/>
        <v>37-48 months</v>
      </c>
      <c r="X5378">
        <f t="shared" si="167"/>
        <v>427.5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168">IF(F5379&lt;=12,"0-12 months",
IF(A5379&lt;=24,"13-24 months",
IF(A5379&lt;=36,"25-36 months",
IF(F5379&lt;=48,"37-48 months","49+ months"))))</f>
        <v>0-12 months</v>
      </c>
      <c r="X5379">
        <f t="shared" ref="X5379:X5442" si="169">S5379 * F5379</f>
        <v>245.2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168"/>
        <v>49+ months</v>
      </c>
      <c r="X5380">
        <f t="shared" si="169"/>
        <v>4396.3999999999996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168"/>
        <v>49+ months</v>
      </c>
      <c r="X5381">
        <f t="shared" si="169"/>
        <v>5488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168"/>
        <v>0-12 months</v>
      </c>
      <c r="X5382">
        <f t="shared" si="169"/>
        <v>160.5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168"/>
        <v>37-48 months</v>
      </c>
      <c r="X5383">
        <f t="shared" si="169"/>
        <v>2524.8000000000002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168"/>
        <v>49+ months</v>
      </c>
      <c r="X5384">
        <f t="shared" si="169"/>
        <v>2912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168"/>
        <v>37-48 months</v>
      </c>
      <c r="X5385">
        <f t="shared" si="169"/>
        <v>3051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168"/>
        <v>0-12 months</v>
      </c>
      <c r="X5386">
        <f t="shared" si="169"/>
        <v>257.60000000000002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168"/>
        <v>49+ months</v>
      </c>
      <c r="X5387">
        <f t="shared" si="169"/>
        <v>4528.8500000000004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168"/>
        <v>0-12 months</v>
      </c>
      <c r="X5388">
        <f t="shared" si="169"/>
        <v>458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168"/>
        <v>0-12 months</v>
      </c>
      <c r="X5389">
        <f t="shared" si="169"/>
        <v>122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168"/>
        <v>0-12 months</v>
      </c>
      <c r="X5390">
        <f t="shared" si="169"/>
        <v>19.899999999999999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168"/>
        <v>49+ months</v>
      </c>
      <c r="X5391">
        <f t="shared" si="169"/>
        <v>3526.65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168"/>
        <v>0-12 months</v>
      </c>
      <c r="X5392">
        <f t="shared" si="169"/>
        <v>1193.4000000000001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168"/>
        <v>0-12 months</v>
      </c>
      <c r="X5393">
        <f t="shared" si="169"/>
        <v>295.5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168"/>
        <v>49+ months</v>
      </c>
      <c r="X5394">
        <f t="shared" si="169"/>
        <v>2479.0500000000002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168"/>
        <v>0-12 months</v>
      </c>
      <c r="X5395">
        <f t="shared" si="169"/>
        <v>70.599999999999994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168"/>
        <v>37-48 months</v>
      </c>
      <c r="X5396">
        <f t="shared" si="169"/>
        <v>5044.7999999999993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168"/>
        <v>0-12 months</v>
      </c>
      <c r="X5397">
        <f t="shared" si="169"/>
        <v>405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168"/>
        <v>37-48 months</v>
      </c>
      <c r="X5398">
        <f t="shared" si="169"/>
        <v>703.5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168"/>
        <v>0-12 months</v>
      </c>
      <c r="X5399">
        <f t="shared" si="169"/>
        <v>509.09999999999997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168"/>
        <v>0-12 months</v>
      </c>
      <c r="X5400">
        <f t="shared" si="169"/>
        <v>39.5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168"/>
        <v>49+ months</v>
      </c>
      <c r="X5401">
        <f t="shared" si="169"/>
        <v>987.5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168"/>
        <v>37-48 months</v>
      </c>
      <c r="X5402">
        <f t="shared" si="169"/>
        <v>2323.2000000000003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168"/>
        <v>37-48 months</v>
      </c>
      <c r="X5403">
        <f t="shared" si="169"/>
        <v>633.94999999999993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168"/>
        <v>0-12 months</v>
      </c>
      <c r="X5404">
        <f t="shared" si="169"/>
        <v>183.15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168"/>
        <v>49+ months</v>
      </c>
      <c r="X5405">
        <f t="shared" si="169"/>
        <v>4654.8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168"/>
        <v>37-48 months</v>
      </c>
      <c r="X5406">
        <f t="shared" si="169"/>
        <v>4399.9000000000005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168"/>
        <v>37-48 months</v>
      </c>
      <c r="X5407">
        <f t="shared" si="169"/>
        <v>3529.2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168"/>
        <v>49+ months</v>
      </c>
      <c r="X5408">
        <f t="shared" si="169"/>
        <v>6901.2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168"/>
        <v>49+ months</v>
      </c>
      <c r="X5409">
        <f t="shared" si="169"/>
        <v>4003.6499999999996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168"/>
        <v>49+ months</v>
      </c>
      <c r="X5410">
        <f t="shared" si="169"/>
        <v>1272.45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168"/>
        <v>37-48 months</v>
      </c>
      <c r="X5411">
        <f t="shared" si="169"/>
        <v>2317.9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168"/>
        <v>49+ months</v>
      </c>
      <c r="X5412">
        <f t="shared" si="169"/>
        <v>6336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168"/>
        <v>0-12 months</v>
      </c>
      <c r="X5413">
        <f t="shared" si="169"/>
        <v>24.8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168"/>
        <v>49+ months</v>
      </c>
      <c r="X5414">
        <f t="shared" si="169"/>
        <v>5218.55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168"/>
        <v>37-48 months</v>
      </c>
      <c r="X5415">
        <f t="shared" si="169"/>
        <v>1410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168"/>
        <v>49+ months</v>
      </c>
      <c r="X5416">
        <f t="shared" si="169"/>
        <v>6761.6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168"/>
        <v>37-48 months</v>
      </c>
      <c r="X5417">
        <f t="shared" si="169"/>
        <v>905.4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168"/>
        <v>49+ months</v>
      </c>
      <c r="X5418">
        <f t="shared" si="169"/>
        <v>5415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168"/>
        <v>37-48 months</v>
      </c>
      <c r="X5419">
        <f t="shared" si="169"/>
        <v>859.6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168"/>
        <v>37-48 months</v>
      </c>
      <c r="X5420">
        <f t="shared" si="169"/>
        <v>1449.8999999999999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168"/>
        <v>49+ months</v>
      </c>
      <c r="X5421">
        <f t="shared" si="169"/>
        <v>5652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168"/>
        <v>49+ months</v>
      </c>
      <c r="X5422">
        <f t="shared" si="169"/>
        <v>8001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168"/>
        <v>37-48 months</v>
      </c>
      <c r="X5423">
        <f t="shared" si="169"/>
        <v>761.9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168"/>
        <v>49+ months</v>
      </c>
      <c r="X5424">
        <f t="shared" si="169"/>
        <v>4260.2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168"/>
        <v>37-48 months</v>
      </c>
      <c r="X5425">
        <f t="shared" si="169"/>
        <v>1051.05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168"/>
        <v>49+ months</v>
      </c>
      <c r="X5426">
        <f t="shared" si="169"/>
        <v>6025.5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168"/>
        <v>37-48 months</v>
      </c>
      <c r="X5427">
        <f t="shared" si="169"/>
        <v>3013.5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168"/>
        <v>49+ months</v>
      </c>
      <c r="X5428">
        <f t="shared" si="169"/>
        <v>3835.2000000000003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168"/>
        <v>37-48 months</v>
      </c>
      <c r="X5429">
        <f t="shared" si="169"/>
        <v>2627.25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168"/>
        <v>0-12 months</v>
      </c>
      <c r="X5430">
        <f t="shared" si="169"/>
        <v>805.05000000000007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168"/>
        <v>49+ months</v>
      </c>
      <c r="X5431">
        <f t="shared" si="169"/>
        <v>5724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168"/>
        <v>0-12 months</v>
      </c>
      <c r="X5432">
        <f t="shared" si="169"/>
        <v>721.5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168"/>
        <v>37-48 months</v>
      </c>
      <c r="X5433">
        <f t="shared" si="169"/>
        <v>732.6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168"/>
        <v>0-12 months</v>
      </c>
      <c r="X5434">
        <f t="shared" si="169"/>
        <v>152.80000000000001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168"/>
        <v>49+ months</v>
      </c>
      <c r="X5435">
        <f t="shared" si="169"/>
        <v>5549.5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168"/>
        <v>37-48 months</v>
      </c>
      <c r="X5436">
        <f t="shared" si="169"/>
        <v>3144.9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168"/>
        <v>37-48 months</v>
      </c>
      <c r="X5437">
        <f t="shared" si="169"/>
        <v>4183.7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168"/>
        <v>0-12 months</v>
      </c>
      <c r="X5438">
        <f t="shared" si="169"/>
        <v>54.5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168"/>
        <v>37-48 months</v>
      </c>
      <c r="X5439">
        <f t="shared" si="169"/>
        <v>1232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168"/>
        <v>0-12 months</v>
      </c>
      <c r="X5440">
        <f t="shared" si="169"/>
        <v>719.1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168"/>
        <v>37-48 months</v>
      </c>
      <c r="X5441">
        <f t="shared" si="169"/>
        <v>3076.8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168"/>
        <v>37-48 months</v>
      </c>
      <c r="X5442">
        <f t="shared" si="169"/>
        <v>942.4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170">IF(F5443&lt;=12,"0-12 months",
IF(A5443&lt;=24,"13-24 months",
IF(A5443&lt;=36,"25-36 months",
IF(F5443&lt;=48,"37-48 months","49+ months"))))</f>
        <v>49+ months</v>
      </c>
      <c r="X5443">
        <f t="shared" ref="X5443:X5506" si="171">S5443 * F5443</f>
        <v>4571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170"/>
        <v>49+ months</v>
      </c>
      <c r="X5444">
        <f t="shared" si="171"/>
        <v>1525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170"/>
        <v>37-48 months</v>
      </c>
      <c r="X5445">
        <f t="shared" si="171"/>
        <v>1181.7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170"/>
        <v>37-48 months</v>
      </c>
      <c r="X5446">
        <f t="shared" si="171"/>
        <v>4848.75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170"/>
        <v>49+ months</v>
      </c>
      <c r="X5447">
        <f t="shared" si="171"/>
        <v>5524.2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170"/>
        <v>0-12 months</v>
      </c>
      <c r="X5448">
        <f t="shared" si="171"/>
        <v>19.649999999999999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170"/>
        <v>0-12 months</v>
      </c>
      <c r="X5449">
        <f t="shared" si="171"/>
        <v>134.25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170"/>
        <v>37-48 months</v>
      </c>
      <c r="X5450">
        <f t="shared" si="171"/>
        <v>4165.5999999999995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170"/>
        <v>49+ months</v>
      </c>
      <c r="X5451">
        <f t="shared" si="171"/>
        <v>6911.05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170"/>
        <v>0-12 months</v>
      </c>
      <c r="X5452">
        <f t="shared" si="171"/>
        <v>84.65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170"/>
        <v>49+ months</v>
      </c>
      <c r="X5453">
        <f t="shared" si="171"/>
        <v>6791.1500000000005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170"/>
        <v>37-48 months</v>
      </c>
      <c r="X5454">
        <f t="shared" si="171"/>
        <v>2778.7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170"/>
        <v>49+ months</v>
      </c>
      <c r="X5455">
        <f t="shared" si="171"/>
        <v>3681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170"/>
        <v>0-12 months</v>
      </c>
      <c r="X5456">
        <f t="shared" si="171"/>
        <v>69.55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170"/>
        <v>0-12 months</v>
      </c>
      <c r="X5457">
        <f t="shared" si="171"/>
        <v>118.19999999999999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170"/>
        <v>37-48 months</v>
      </c>
      <c r="X5458">
        <f t="shared" si="171"/>
        <v>403.65000000000003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170"/>
        <v>0-12 months</v>
      </c>
      <c r="X5459">
        <f t="shared" si="171"/>
        <v>561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170"/>
        <v>0-12 months</v>
      </c>
      <c r="X5460">
        <f t="shared" si="171"/>
        <v>357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170"/>
        <v>0-12 months</v>
      </c>
      <c r="X5461">
        <f t="shared" si="171"/>
        <v>888.5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170"/>
        <v>37-48 months</v>
      </c>
      <c r="X5462">
        <f t="shared" si="171"/>
        <v>681.7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170"/>
        <v>49+ months</v>
      </c>
      <c r="X5463">
        <f t="shared" si="171"/>
        <v>4036.2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170"/>
        <v>49+ months</v>
      </c>
      <c r="X5464">
        <f t="shared" si="171"/>
        <v>4489.6000000000004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170"/>
        <v>0-12 months</v>
      </c>
      <c r="X5465">
        <f t="shared" si="171"/>
        <v>44.35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170"/>
        <v>37-48 months</v>
      </c>
      <c r="X5466">
        <f t="shared" si="171"/>
        <v>518.75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170"/>
        <v>37-48 months</v>
      </c>
      <c r="X5467">
        <f t="shared" si="171"/>
        <v>1457.3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170"/>
        <v>0-12 months</v>
      </c>
      <c r="X5468">
        <f t="shared" si="171"/>
        <v>199.5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170"/>
        <v>49+ months</v>
      </c>
      <c r="X5469">
        <f t="shared" si="171"/>
        <v>5225.7999999999993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170"/>
        <v>0-12 months</v>
      </c>
      <c r="X5470">
        <f t="shared" si="171"/>
        <v>557.9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170"/>
        <v>37-48 months</v>
      </c>
      <c r="X5471">
        <f t="shared" si="171"/>
        <v>2607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170"/>
        <v>49+ months</v>
      </c>
      <c r="X5472">
        <f t="shared" si="171"/>
        <v>6350.95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170"/>
        <v>37-48 months</v>
      </c>
      <c r="X5473">
        <f t="shared" si="171"/>
        <v>2151.8000000000002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170"/>
        <v>37-48 months</v>
      </c>
      <c r="X5474">
        <f t="shared" si="171"/>
        <v>1944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170"/>
        <v>37-48 months</v>
      </c>
      <c r="X5475">
        <f t="shared" si="171"/>
        <v>992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170"/>
        <v>0-12 months</v>
      </c>
      <c r="X5476">
        <f t="shared" si="171"/>
        <v>84.6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170"/>
        <v>49+ months</v>
      </c>
      <c r="X5477">
        <f t="shared" si="171"/>
        <v>2970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170"/>
        <v>0-12 months</v>
      </c>
      <c r="X5478">
        <f t="shared" si="171"/>
        <v>424.25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170"/>
        <v>49+ months</v>
      </c>
      <c r="X5479">
        <f t="shared" si="171"/>
        <v>6062.4000000000005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170"/>
        <v>49+ months</v>
      </c>
      <c r="X5480">
        <f t="shared" si="171"/>
        <v>5527.5999999999995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170"/>
        <v>0-12 months</v>
      </c>
      <c r="X5481">
        <f t="shared" si="171"/>
        <v>621.44999999999993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170"/>
        <v>0-12 months</v>
      </c>
      <c r="X5482">
        <f t="shared" si="171"/>
        <v>45.4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170"/>
        <v>0-12 months</v>
      </c>
      <c r="X5483">
        <f t="shared" si="171"/>
        <v>73.650000000000006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170"/>
        <v>37-48 months</v>
      </c>
      <c r="X5484">
        <f t="shared" si="171"/>
        <v>2438.7000000000003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170"/>
        <v>49+ months</v>
      </c>
      <c r="X5485">
        <f t="shared" si="171"/>
        <v>4276.25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170"/>
        <v>49+ months</v>
      </c>
      <c r="X5486">
        <f t="shared" si="171"/>
        <v>6855.15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170"/>
        <v>0-12 months</v>
      </c>
      <c r="X5487">
        <f t="shared" si="171"/>
        <v>50.75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170"/>
        <v>49+ months</v>
      </c>
      <c r="X5488">
        <f t="shared" si="171"/>
        <v>4703.3999999999996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170"/>
        <v>37-48 months</v>
      </c>
      <c r="X5489">
        <f t="shared" si="171"/>
        <v>664.94999999999993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170"/>
        <v>37-48 months</v>
      </c>
      <c r="X5490">
        <f t="shared" si="171"/>
        <v>4441.5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170"/>
        <v>0-12 months</v>
      </c>
      <c r="X5491">
        <f t="shared" si="171"/>
        <v>277.2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170"/>
        <v>0-12 months</v>
      </c>
      <c r="X5492">
        <f t="shared" si="171"/>
        <v>334.20000000000005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170"/>
        <v>37-48 months</v>
      </c>
      <c r="X5493">
        <f t="shared" si="171"/>
        <v>1372.35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170"/>
        <v>49+ months</v>
      </c>
      <c r="X5494">
        <f t="shared" si="171"/>
        <v>1644.5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170"/>
        <v>0-12 months</v>
      </c>
      <c r="X5495">
        <f t="shared" si="171"/>
        <v>506.09999999999997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170"/>
        <v>0-12 months</v>
      </c>
      <c r="X5496">
        <f t="shared" si="171"/>
        <v>679.6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170"/>
        <v>0-12 months</v>
      </c>
      <c r="X5497">
        <f t="shared" si="171"/>
        <v>812.34999999999991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170"/>
        <v>37-48 months</v>
      </c>
      <c r="X5498">
        <f t="shared" si="171"/>
        <v>1042.75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170"/>
        <v>49+ months</v>
      </c>
      <c r="X5499">
        <f t="shared" si="171"/>
        <v>2538.1999999999998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170"/>
        <v>0-12 months</v>
      </c>
      <c r="X5500">
        <f t="shared" si="171"/>
        <v>46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170"/>
        <v>37-48 months</v>
      </c>
      <c r="X5501">
        <f t="shared" si="171"/>
        <v>1191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170"/>
        <v>49+ months</v>
      </c>
      <c r="X5502">
        <f t="shared" si="171"/>
        <v>3630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170"/>
        <v>37-48 months</v>
      </c>
      <c r="X5503">
        <f t="shared" si="171"/>
        <v>426.70000000000005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170"/>
        <v>37-48 months</v>
      </c>
      <c r="X5504">
        <f t="shared" si="171"/>
        <v>1148.8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170"/>
        <v>37-48 months</v>
      </c>
      <c r="X5505">
        <f t="shared" si="171"/>
        <v>701.75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170"/>
        <v>37-48 months</v>
      </c>
      <c r="X5506">
        <f t="shared" si="171"/>
        <v>3889.6000000000004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172">IF(F5507&lt;=12,"0-12 months",
IF(A5507&lt;=24,"13-24 months",
IF(A5507&lt;=36,"25-36 months",
IF(F5507&lt;=48,"37-48 months","49+ months"))))</f>
        <v>0-12 months</v>
      </c>
      <c r="X5507">
        <f t="shared" ref="X5507:X5570" si="173">S5507 * F5507</f>
        <v>363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172"/>
        <v>0-12 months</v>
      </c>
      <c r="X5508">
        <f t="shared" si="173"/>
        <v>20.2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172"/>
        <v>37-48 months</v>
      </c>
      <c r="X5509">
        <f t="shared" si="173"/>
        <v>1677.2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172"/>
        <v>49+ months</v>
      </c>
      <c r="X5510">
        <f t="shared" si="173"/>
        <v>1760.5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172"/>
        <v>0-12 months</v>
      </c>
      <c r="X5511">
        <f t="shared" si="173"/>
        <v>230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172"/>
        <v>37-48 months</v>
      </c>
      <c r="X5512">
        <f t="shared" si="173"/>
        <v>1823.3999999999999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172"/>
        <v>49+ months</v>
      </c>
      <c r="X5513">
        <f t="shared" si="173"/>
        <v>5386.5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172"/>
        <v>0-12 months</v>
      </c>
      <c r="X5514">
        <f t="shared" si="173"/>
        <v>497.7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172"/>
        <v>49+ months</v>
      </c>
      <c r="X5515">
        <f t="shared" si="173"/>
        <v>6194.1500000000005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172"/>
        <v>0-12 months</v>
      </c>
      <c r="X5516">
        <f t="shared" si="173"/>
        <v>48.45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172"/>
        <v>37-48 months</v>
      </c>
      <c r="X5517">
        <f t="shared" si="173"/>
        <v>348.3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172"/>
        <v>0-12 months</v>
      </c>
      <c r="X5518">
        <f t="shared" si="173"/>
        <v>207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172"/>
        <v>49+ months</v>
      </c>
      <c r="X5519">
        <f t="shared" si="173"/>
        <v>6155.7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172"/>
        <v>37-48 months</v>
      </c>
      <c r="X5520">
        <f t="shared" si="173"/>
        <v>2832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172"/>
        <v>0-12 months</v>
      </c>
      <c r="X5521">
        <f t="shared" si="173"/>
        <v>55.7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172"/>
        <v>49+ months</v>
      </c>
      <c r="X5522">
        <f t="shared" si="173"/>
        <v>4633.75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172"/>
        <v>49+ months</v>
      </c>
      <c r="X5523">
        <f t="shared" si="173"/>
        <v>3814.3500000000004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172"/>
        <v>0-12 months</v>
      </c>
      <c r="X5524">
        <f t="shared" si="173"/>
        <v>70.150000000000006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172"/>
        <v>0-12 months</v>
      </c>
      <c r="X5525">
        <f t="shared" si="173"/>
        <v>484.40000000000003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172"/>
        <v>37-48 months</v>
      </c>
      <c r="X5526">
        <f t="shared" si="173"/>
        <v>2459.25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172"/>
        <v>49+ months</v>
      </c>
      <c r="X5527">
        <f t="shared" si="173"/>
        <v>1336.5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172"/>
        <v>49+ months</v>
      </c>
      <c r="X5528">
        <f t="shared" si="173"/>
        <v>1221.45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172"/>
        <v>49+ months</v>
      </c>
      <c r="X5529">
        <f t="shared" si="173"/>
        <v>7560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172"/>
        <v>37-48 months</v>
      </c>
      <c r="X5530">
        <f t="shared" si="173"/>
        <v>2633.4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172"/>
        <v>0-12 months</v>
      </c>
      <c r="X5531">
        <f t="shared" si="173"/>
        <v>40.1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172"/>
        <v>49+ months</v>
      </c>
      <c r="X5532">
        <f t="shared" si="173"/>
        <v>6081.9000000000005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172"/>
        <v>49+ months</v>
      </c>
      <c r="X5533">
        <f t="shared" si="173"/>
        <v>3046.3999999999996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172"/>
        <v>37-48 months</v>
      </c>
      <c r="X5534">
        <f t="shared" si="173"/>
        <v>647.9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172"/>
        <v>37-48 months</v>
      </c>
      <c r="X5535">
        <f t="shared" si="173"/>
        <v>2003.4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172"/>
        <v>37-48 months</v>
      </c>
      <c r="X5536">
        <f t="shared" si="173"/>
        <v>1687.35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172"/>
        <v>49+ months</v>
      </c>
      <c r="X5537">
        <f t="shared" si="173"/>
        <v>4680.5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172"/>
        <v>0-12 months</v>
      </c>
      <c r="X5538">
        <f t="shared" si="173"/>
        <v>312.3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172"/>
        <v>49+ months</v>
      </c>
      <c r="X5539">
        <f t="shared" si="173"/>
        <v>8168.55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172"/>
        <v>0-12 months</v>
      </c>
      <c r="X5540">
        <f t="shared" si="173"/>
        <v>81.099999999999994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172"/>
        <v>37-48 months</v>
      </c>
      <c r="X5541">
        <f t="shared" si="173"/>
        <v>438.9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172"/>
        <v>0-12 months</v>
      </c>
      <c r="X5542">
        <f t="shared" si="173"/>
        <v>20.55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172"/>
        <v>49+ months</v>
      </c>
      <c r="X5543">
        <f t="shared" si="173"/>
        <v>6502.5999999999995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172"/>
        <v>49+ months</v>
      </c>
      <c r="X5544">
        <f t="shared" si="173"/>
        <v>5772.05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172"/>
        <v>37-48 months</v>
      </c>
      <c r="X5545">
        <f t="shared" si="173"/>
        <v>1103.8999999999999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172"/>
        <v>49+ months</v>
      </c>
      <c r="X5546">
        <f t="shared" si="173"/>
        <v>6298.25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172"/>
        <v>37-48 months</v>
      </c>
      <c r="X5547">
        <f t="shared" si="173"/>
        <v>1817.55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172"/>
        <v>0-12 months</v>
      </c>
      <c r="X5548">
        <f t="shared" si="173"/>
        <v>169.6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172"/>
        <v>0-12 months</v>
      </c>
      <c r="X5549">
        <f t="shared" si="173"/>
        <v>268.35000000000002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172"/>
        <v>49+ months</v>
      </c>
      <c r="X5550">
        <f t="shared" si="173"/>
        <v>1697.5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172"/>
        <v>0-12 months</v>
      </c>
      <c r="X5551">
        <f t="shared" si="173"/>
        <v>293.70000000000005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172"/>
        <v>37-48 months</v>
      </c>
      <c r="X5552">
        <f t="shared" si="173"/>
        <v>430.5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172"/>
        <v>37-48 months</v>
      </c>
      <c r="X5553">
        <f t="shared" si="173"/>
        <v>392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172"/>
        <v>37-48 months</v>
      </c>
      <c r="X5554">
        <f t="shared" si="173"/>
        <v>445.5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172"/>
        <v>0-12 months</v>
      </c>
      <c r="X5555">
        <f t="shared" si="173"/>
        <v>55.7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172"/>
        <v>49+ months</v>
      </c>
      <c r="X5556">
        <f t="shared" si="173"/>
        <v>1297.8000000000002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172"/>
        <v>49+ months</v>
      </c>
      <c r="X5557">
        <f t="shared" si="173"/>
        <v>1386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172"/>
        <v>37-48 months</v>
      </c>
      <c r="X5558">
        <f t="shared" si="173"/>
        <v>1037.3999999999999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172"/>
        <v>0-12 months</v>
      </c>
      <c r="X5559">
        <f t="shared" si="173"/>
        <v>401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172"/>
        <v>49+ months</v>
      </c>
      <c r="X5560">
        <f t="shared" si="173"/>
        <v>8380.8000000000011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172"/>
        <v>37-48 months</v>
      </c>
      <c r="X5561">
        <f t="shared" si="173"/>
        <v>411.45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172"/>
        <v>49+ months</v>
      </c>
      <c r="X5562">
        <f t="shared" si="173"/>
        <v>5743.1500000000005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172"/>
        <v>0-12 months</v>
      </c>
      <c r="X5563">
        <f t="shared" si="173"/>
        <v>20.65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172"/>
        <v>49+ months</v>
      </c>
      <c r="X5564">
        <f t="shared" si="173"/>
        <v>4303.5999999999995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172"/>
        <v>0-12 months</v>
      </c>
      <c r="X5565">
        <f t="shared" si="173"/>
        <v>80.599999999999994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172"/>
        <v>37-48 months</v>
      </c>
      <c r="X5566">
        <f t="shared" si="173"/>
        <v>1933.75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172"/>
        <v>37-48 months</v>
      </c>
      <c r="X5567">
        <f t="shared" si="173"/>
        <v>702.9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172"/>
        <v>49+ months</v>
      </c>
      <c r="X5568">
        <f t="shared" si="173"/>
        <v>5914.8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172"/>
        <v>49+ months</v>
      </c>
      <c r="X5569">
        <f t="shared" si="173"/>
        <v>5047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172"/>
        <v>37-48 months</v>
      </c>
      <c r="X5570">
        <f t="shared" si="173"/>
        <v>4184.3999999999996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174">IF(F5571&lt;=12,"0-12 months",
IF(A5571&lt;=24,"13-24 months",
IF(A5571&lt;=36,"25-36 months",
IF(F5571&lt;=48,"37-48 months","49+ months"))))</f>
        <v>0-12 months</v>
      </c>
      <c r="X5571">
        <f t="shared" ref="X5571:X5634" si="175">S5571 * F5571</f>
        <v>251.70000000000002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174"/>
        <v>37-48 months</v>
      </c>
      <c r="X5572">
        <f t="shared" si="175"/>
        <v>3520.55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174"/>
        <v>49+ months</v>
      </c>
      <c r="X5573">
        <f t="shared" si="175"/>
        <v>4867.8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174"/>
        <v>49+ months</v>
      </c>
      <c r="X5574">
        <f t="shared" si="175"/>
        <v>5236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174"/>
        <v>0-12 months</v>
      </c>
      <c r="X5575">
        <f t="shared" si="175"/>
        <v>69.849999999999994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174"/>
        <v>37-48 months</v>
      </c>
      <c r="X5576">
        <f t="shared" si="175"/>
        <v>838.44999999999993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174"/>
        <v>49+ months</v>
      </c>
      <c r="X5577">
        <f t="shared" si="175"/>
        <v>5484.5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174"/>
        <v>0-12 months</v>
      </c>
      <c r="X5578">
        <f t="shared" si="175"/>
        <v>53.55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174"/>
        <v>49+ months</v>
      </c>
      <c r="X5579">
        <f t="shared" si="175"/>
        <v>974.1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174"/>
        <v>37-48 months</v>
      </c>
      <c r="X5580">
        <f t="shared" si="175"/>
        <v>840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174"/>
        <v>49+ months</v>
      </c>
      <c r="X5581">
        <f t="shared" si="175"/>
        <v>6573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174"/>
        <v>37-48 months</v>
      </c>
      <c r="X5582">
        <f t="shared" si="175"/>
        <v>957.59999999999991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174"/>
        <v>49+ months</v>
      </c>
      <c r="X5583">
        <f t="shared" si="175"/>
        <v>7694.2000000000007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174"/>
        <v>37-48 months</v>
      </c>
      <c r="X5584">
        <f t="shared" si="175"/>
        <v>1152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174"/>
        <v>37-48 months</v>
      </c>
      <c r="X5585">
        <f t="shared" si="175"/>
        <v>2208.7000000000003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174"/>
        <v>0-12 months</v>
      </c>
      <c r="X5586">
        <f t="shared" si="175"/>
        <v>885.5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174"/>
        <v>0-12 months</v>
      </c>
      <c r="X5587">
        <f t="shared" si="175"/>
        <v>19.3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174"/>
        <v>37-48 months</v>
      </c>
      <c r="X5588">
        <f t="shared" si="175"/>
        <v>517.04999999999995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174"/>
        <v>37-48 months</v>
      </c>
      <c r="X5589">
        <f t="shared" si="175"/>
        <v>4199.8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174"/>
        <v>0-12 months</v>
      </c>
      <c r="X5590">
        <f t="shared" si="175"/>
        <v>49.65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174"/>
        <v>37-48 months</v>
      </c>
      <c r="X5591">
        <f t="shared" si="175"/>
        <v>2500.1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174"/>
        <v>37-48 months</v>
      </c>
      <c r="X5592">
        <f t="shared" si="175"/>
        <v>478.74999999999994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174"/>
        <v>0-12 months</v>
      </c>
      <c r="X5593">
        <f t="shared" si="175"/>
        <v>353.8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174"/>
        <v>37-48 months</v>
      </c>
      <c r="X5594">
        <f t="shared" si="175"/>
        <v>256.75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174"/>
        <v>37-48 months</v>
      </c>
      <c r="X5595">
        <f t="shared" si="175"/>
        <v>2340.5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174"/>
        <v>37-48 months</v>
      </c>
      <c r="X5596">
        <f t="shared" si="175"/>
        <v>1926.25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174"/>
        <v>0-12 months</v>
      </c>
      <c r="X5597">
        <f t="shared" si="175"/>
        <v>38.799999999999997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174"/>
        <v>49+ months</v>
      </c>
      <c r="X5598">
        <f t="shared" si="175"/>
        <v>1722.5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174"/>
        <v>37-48 months</v>
      </c>
      <c r="X5599">
        <f t="shared" si="175"/>
        <v>1991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174"/>
        <v>49+ months</v>
      </c>
      <c r="X5600">
        <f t="shared" si="175"/>
        <v>1053.25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174"/>
        <v>0-12 months</v>
      </c>
      <c r="X5601">
        <f t="shared" si="175"/>
        <v>853.65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174"/>
        <v>0-12 months</v>
      </c>
      <c r="X5602">
        <f t="shared" si="175"/>
        <v>489.65000000000003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174"/>
        <v>37-48 months</v>
      </c>
      <c r="X5603">
        <f t="shared" si="175"/>
        <v>1431.5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174"/>
        <v>0-12 months</v>
      </c>
      <c r="X5604">
        <f t="shared" si="175"/>
        <v>481.5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174"/>
        <v>0-12 months</v>
      </c>
      <c r="X5605">
        <f t="shared" si="175"/>
        <v>48.6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174"/>
        <v>37-48 months</v>
      </c>
      <c r="X5606">
        <f t="shared" si="175"/>
        <v>1203.5999999999999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174"/>
        <v>0-12 months</v>
      </c>
      <c r="X5607">
        <f t="shared" si="175"/>
        <v>602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174"/>
        <v>37-48 months</v>
      </c>
      <c r="X5608">
        <f t="shared" si="175"/>
        <v>828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174"/>
        <v>37-48 months</v>
      </c>
      <c r="X5609">
        <f t="shared" si="175"/>
        <v>2232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174"/>
        <v>37-48 months</v>
      </c>
      <c r="X5610">
        <f t="shared" si="175"/>
        <v>703.94999999999993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174"/>
        <v>37-48 months</v>
      </c>
      <c r="X5611">
        <f t="shared" si="175"/>
        <v>2324.3500000000004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174"/>
        <v>0-12 months</v>
      </c>
      <c r="X5612">
        <f t="shared" si="175"/>
        <v>226.5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174"/>
        <v>49+ months</v>
      </c>
      <c r="X5613">
        <f t="shared" si="175"/>
        <v>5823.2000000000007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174"/>
        <v>37-48 months</v>
      </c>
      <c r="X5614">
        <f t="shared" si="175"/>
        <v>2814.75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174"/>
        <v>49+ months</v>
      </c>
      <c r="X5615">
        <f t="shared" si="175"/>
        <v>5072.4000000000005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174"/>
        <v>49+ months</v>
      </c>
      <c r="X5616">
        <f t="shared" si="175"/>
        <v>5814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174"/>
        <v>0-12 months</v>
      </c>
      <c r="X5617">
        <f t="shared" si="175"/>
        <v>20.2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174"/>
        <v>37-48 months</v>
      </c>
      <c r="X5618">
        <f t="shared" si="175"/>
        <v>2071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174"/>
        <v>0-12 months</v>
      </c>
      <c r="X5619">
        <f t="shared" si="175"/>
        <v>41.5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174"/>
        <v>0-12 months</v>
      </c>
      <c r="X5620">
        <f t="shared" si="175"/>
        <v>223.85000000000002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174"/>
        <v>37-48 months</v>
      </c>
      <c r="X5621">
        <f t="shared" si="175"/>
        <v>1820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174"/>
        <v>49+ months</v>
      </c>
      <c r="X5622">
        <f t="shared" si="175"/>
        <v>7545.5999999999995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174"/>
        <v>0-12 months</v>
      </c>
      <c r="X5623">
        <f t="shared" si="175"/>
        <v>224.25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174"/>
        <v>37-48 months</v>
      </c>
      <c r="X5624">
        <f t="shared" si="175"/>
        <v>2393.15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174"/>
        <v>37-48 months</v>
      </c>
      <c r="X5625">
        <f t="shared" si="175"/>
        <v>2044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174"/>
        <v>49+ months</v>
      </c>
      <c r="X5626">
        <f t="shared" si="175"/>
        <v>5567.5999999999995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174"/>
        <v>37-48 months</v>
      </c>
      <c r="X5627">
        <f t="shared" si="175"/>
        <v>452.1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174"/>
        <v>0-12 months</v>
      </c>
      <c r="X5628">
        <f t="shared" si="175"/>
        <v>704.55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174"/>
        <v>0-12 months</v>
      </c>
      <c r="X5629">
        <f t="shared" si="175"/>
        <v>523.94999999999993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174"/>
        <v>37-48 months</v>
      </c>
      <c r="X5630">
        <f t="shared" si="175"/>
        <v>1256.45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174"/>
        <v>0-12 months</v>
      </c>
      <c r="X5631">
        <f t="shared" si="175"/>
        <v>20.05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174"/>
        <v>37-48 months</v>
      </c>
      <c r="X5632">
        <f t="shared" si="175"/>
        <v>4034.55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174"/>
        <v>0-12 months</v>
      </c>
      <c r="X5633">
        <f t="shared" si="175"/>
        <v>75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174"/>
        <v>49+ months</v>
      </c>
      <c r="X5634">
        <f t="shared" si="175"/>
        <v>1177.4000000000001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176">IF(F5635&lt;=12,"0-12 months",
IF(A5635&lt;=24,"13-24 months",
IF(A5635&lt;=36,"25-36 months",
IF(F5635&lt;=48,"37-48 months","49+ months"))))</f>
        <v>0-12 months</v>
      </c>
      <c r="X5635">
        <f t="shared" ref="X5635:X5698" si="177">S5635 * F5635</f>
        <v>158.10000000000002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176"/>
        <v>0-12 months</v>
      </c>
      <c r="X5636">
        <f t="shared" si="177"/>
        <v>19.899999999999999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176"/>
        <v>37-48 months</v>
      </c>
      <c r="X5637">
        <f t="shared" si="177"/>
        <v>1203.4000000000001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176"/>
        <v>37-48 months</v>
      </c>
      <c r="X5638">
        <f t="shared" si="177"/>
        <v>648.9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176"/>
        <v>49+ months</v>
      </c>
      <c r="X5639">
        <f t="shared" si="177"/>
        <v>5776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176"/>
        <v>0-12 months</v>
      </c>
      <c r="X5640">
        <f t="shared" si="177"/>
        <v>19.95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176"/>
        <v>0-12 months</v>
      </c>
      <c r="X5641">
        <f t="shared" si="177"/>
        <v>123.89999999999999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176"/>
        <v>0-12 months</v>
      </c>
      <c r="X5642">
        <f t="shared" si="177"/>
        <v>79.599999999999994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176"/>
        <v>37-48 months</v>
      </c>
      <c r="X5643">
        <f t="shared" si="177"/>
        <v>992.55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176"/>
        <v>37-48 months</v>
      </c>
      <c r="X5644">
        <f t="shared" si="177"/>
        <v>390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176"/>
        <v>0-12 months</v>
      </c>
      <c r="X5645">
        <f t="shared" si="177"/>
        <v>75.900000000000006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176"/>
        <v>0-12 months</v>
      </c>
      <c r="X5646">
        <f t="shared" si="177"/>
        <v>76.2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176"/>
        <v>49+ months</v>
      </c>
      <c r="X5647">
        <f t="shared" si="177"/>
        <v>4233.6000000000004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176"/>
        <v>0-12 months</v>
      </c>
      <c r="X5648">
        <f t="shared" si="177"/>
        <v>19.25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176"/>
        <v>37-48 months</v>
      </c>
      <c r="X5649">
        <f t="shared" si="177"/>
        <v>3178.6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176"/>
        <v>37-48 months</v>
      </c>
      <c r="X5650">
        <f t="shared" si="177"/>
        <v>1094.8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176"/>
        <v>37-48 months</v>
      </c>
      <c r="X5651">
        <f t="shared" si="177"/>
        <v>661.65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176"/>
        <v>37-48 months</v>
      </c>
      <c r="X5652">
        <f t="shared" si="177"/>
        <v>2332.1999999999998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176"/>
        <v>37-48 months</v>
      </c>
      <c r="X5653">
        <f t="shared" si="177"/>
        <v>3540.6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176"/>
        <v>0-12 months</v>
      </c>
      <c r="X5654">
        <f t="shared" si="177"/>
        <v>48.6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176"/>
        <v>0-12 months</v>
      </c>
      <c r="X5655">
        <f t="shared" si="177"/>
        <v>553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176"/>
        <v>49+ months</v>
      </c>
      <c r="X5656">
        <f t="shared" si="177"/>
        <v>7374.5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176"/>
        <v>49+ months</v>
      </c>
      <c r="X5657">
        <f t="shared" si="177"/>
        <v>1631.5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176"/>
        <v>0-12 months</v>
      </c>
      <c r="X5658">
        <f t="shared" si="177"/>
        <v>49.75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176"/>
        <v>37-48 months</v>
      </c>
      <c r="X5659">
        <f t="shared" si="177"/>
        <v>1705.5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176"/>
        <v>37-48 months</v>
      </c>
      <c r="X5660">
        <f t="shared" si="177"/>
        <v>2232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176"/>
        <v>49+ months</v>
      </c>
      <c r="X5661">
        <f t="shared" si="177"/>
        <v>4529.7000000000007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176"/>
        <v>37-48 months</v>
      </c>
      <c r="X5662">
        <f t="shared" si="177"/>
        <v>3412.2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176"/>
        <v>0-12 months</v>
      </c>
      <c r="X5663">
        <f t="shared" si="177"/>
        <v>79.400000000000006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176"/>
        <v>0-12 months</v>
      </c>
      <c r="X5664">
        <f t="shared" si="177"/>
        <v>70.25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176"/>
        <v>37-48 months</v>
      </c>
      <c r="X5665">
        <f t="shared" si="177"/>
        <v>3524.25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176"/>
        <v>0-12 months</v>
      </c>
      <c r="X5666">
        <f t="shared" si="177"/>
        <v>846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176"/>
        <v>37-48 months</v>
      </c>
      <c r="X5667">
        <f t="shared" si="177"/>
        <v>851.7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176"/>
        <v>37-48 months</v>
      </c>
      <c r="X5668">
        <f t="shared" si="177"/>
        <v>1860.25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176"/>
        <v>0-12 months</v>
      </c>
      <c r="X5669">
        <f t="shared" si="177"/>
        <v>80.599999999999994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176"/>
        <v>37-48 months</v>
      </c>
      <c r="X5670">
        <f t="shared" si="177"/>
        <v>3948.75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176"/>
        <v>37-48 months</v>
      </c>
      <c r="X5671">
        <f t="shared" si="177"/>
        <v>4323.6499999999996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176"/>
        <v>37-48 months</v>
      </c>
      <c r="X5672">
        <f t="shared" si="177"/>
        <v>409.70000000000005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176"/>
        <v>49+ months</v>
      </c>
      <c r="X5673">
        <f t="shared" si="177"/>
        <v>1543.3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176"/>
        <v>49+ months</v>
      </c>
      <c r="X5674">
        <f t="shared" si="177"/>
        <v>3518.2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176"/>
        <v>0-12 months</v>
      </c>
      <c r="X5675">
        <f t="shared" si="177"/>
        <v>78.8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176"/>
        <v>49+ months</v>
      </c>
      <c r="X5676">
        <f t="shared" si="177"/>
        <v>3190.4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176"/>
        <v>0-12 months</v>
      </c>
      <c r="X5677">
        <f t="shared" si="177"/>
        <v>208.79999999999998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176"/>
        <v>0-12 months</v>
      </c>
      <c r="X5678">
        <f t="shared" si="177"/>
        <v>19.75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176"/>
        <v>37-48 months</v>
      </c>
      <c r="X5679">
        <f t="shared" si="177"/>
        <v>3232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176"/>
        <v>0-12 months</v>
      </c>
      <c r="X5680">
        <f t="shared" si="177"/>
        <v>60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176"/>
        <v>0-12 months</v>
      </c>
      <c r="X5681">
        <f t="shared" si="177"/>
        <v>692.4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176"/>
        <v>0-12 months</v>
      </c>
      <c r="X5682">
        <f t="shared" si="177"/>
        <v>20.85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176"/>
        <v>37-48 months</v>
      </c>
      <c r="X5683">
        <f t="shared" si="177"/>
        <v>2182.8000000000002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176"/>
        <v>0-12 months</v>
      </c>
      <c r="X5684">
        <f t="shared" si="177"/>
        <v>35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176"/>
        <v>37-48 months</v>
      </c>
      <c r="X5685">
        <f t="shared" si="177"/>
        <v>1979.25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176"/>
        <v>49+ months</v>
      </c>
      <c r="X5686">
        <f t="shared" si="177"/>
        <v>6119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176"/>
        <v>37-48 months</v>
      </c>
      <c r="X5687">
        <f t="shared" si="177"/>
        <v>864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176"/>
        <v>0-12 months</v>
      </c>
      <c r="X5688">
        <f t="shared" si="177"/>
        <v>510.90000000000003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176"/>
        <v>37-48 months</v>
      </c>
      <c r="X5689">
        <f t="shared" si="177"/>
        <v>3897.9500000000003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176"/>
        <v>37-48 months</v>
      </c>
      <c r="X5690">
        <f t="shared" si="177"/>
        <v>820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176"/>
        <v>0-12 months</v>
      </c>
      <c r="X5691">
        <f t="shared" si="177"/>
        <v>373.25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176"/>
        <v>49+ months</v>
      </c>
      <c r="X5692">
        <f t="shared" si="177"/>
        <v>4406.4000000000005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176"/>
        <v>0-12 months</v>
      </c>
      <c r="X5693">
        <f t="shared" si="177"/>
        <v>79.8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176"/>
        <v>0-12 months</v>
      </c>
      <c r="X5694">
        <f t="shared" si="177"/>
        <v>493.2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176"/>
        <v>49+ months</v>
      </c>
      <c r="X5695">
        <f t="shared" si="177"/>
        <v>5288.4000000000005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176"/>
        <v>37-48 months</v>
      </c>
      <c r="X5696">
        <f t="shared" si="177"/>
        <v>1697.8500000000001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176"/>
        <v>49+ months</v>
      </c>
      <c r="X5697">
        <f t="shared" si="177"/>
        <v>5792.4000000000005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176"/>
        <v>37-48 months</v>
      </c>
      <c r="X5698">
        <f t="shared" si="177"/>
        <v>1192.4000000000001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178">IF(F5699&lt;=12,"0-12 months",
IF(A5699&lt;=24,"13-24 months",
IF(A5699&lt;=36,"25-36 months",
IF(F5699&lt;=48,"37-48 months","49+ months"))))</f>
        <v>49+ months</v>
      </c>
      <c r="X5699">
        <f t="shared" ref="X5699:X5762" si="179">S5699 * F5699</f>
        <v>7665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178"/>
        <v>37-48 months</v>
      </c>
      <c r="X5700">
        <f t="shared" si="179"/>
        <v>2192.4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178"/>
        <v>37-48 months</v>
      </c>
      <c r="X5701">
        <f t="shared" si="179"/>
        <v>1279.5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178"/>
        <v>37-48 months</v>
      </c>
      <c r="X5702">
        <f t="shared" si="179"/>
        <v>2299.6999999999998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178"/>
        <v>37-48 months</v>
      </c>
      <c r="X5703">
        <f t="shared" si="179"/>
        <v>1147.5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178"/>
        <v>49+ months</v>
      </c>
      <c r="X5704">
        <f t="shared" si="179"/>
        <v>7462.0999999999995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178"/>
        <v>49+ months</v>
      </c>
      <c r="X5705">
        <f t="shared" si="179"/>
        <v>1828.8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178"/>
        <v>37-48 months</v>
      </c>
      <c r="X5706">
        <f t="shared" si="179"/>
        <v>1650.1499999999999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178"/>
        <v>0-12 months</v>
      </c>
      <c r="X5707">
        <f t="shared" si="179"/>
        <v>19.649999999999999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178"/>
        <v>0-12 months</v>
      </c>
      <c r="X5708">
        <f t="shared" si="179"/>
        <v>75.7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178"/>
        <v>0-12 months</v>
      </c>
      <c r="X5709">
        <f t="shared" si="179"/>
        <v>91.1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178"/>
        <v>0-12 months</v>
      </c>
      <c r="X5710">
        <f t="shared" si="179"/>
        <v>859.09999999999991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178"/>
        <v>0-12 months</v>
      </c>
      <c r="X5711">
        <f t="shared" si="179"/>
        <v>231.60000000000002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178"/>
        <v>49+ months</v>
      </c>
      <c r="X5712">
        <f t="shared" si="179"/>
        <v>7735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178"/>
        <v>37-48 months</v>
      </c>
      <c r="X5713">
        <f t="shared" si="179"/>
        <v>1816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178"/>
        <v>37-48 months</v>
      </c>
      <c r="X5714">
        <f t="shared" si="179"/>
        <v>466.90000000000003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178"/>
        <v>49+ months</v>
      </c>
      <c r="X5715">
        <f t="shared" si="179"/>
        <v>3986.1499999999996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178"/>
        <v>0-12 months</v>
      </c>
      <c r="X5716">
        <f t="shared" si="179"/>
        <v>391.8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178"/>
        <v>37-48 months</v>
      </c>
      <c r="X5717">
        <f t="shared" si="179"/>
        <v>3460.8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178"/>
        <v>0-12 months</v>
      </c>
      <c r="X5718">
        <f t="shared" si="179"/>
        <v>110.6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178"/>
        <v>49+ months</v>
      </c>
      <c r="X5719">
        <f t="shared" si="179"/>
        <v>3901.95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178"/>
        <v>0-12 months</v>
      </c>
      <c r="X5720">
        <f t="shared" si="179"/>
        <v>483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178"/>
        <v>37-48 months</v>
      </c>
      <c r="X5721">
        <f t="shared" si="179"/>
        <v>472.79999999999995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178"/>
        <v>37-48 months</v>
      </c>
      <c r="X5722">
        <f t="shared" si="179"/>
        <v>3329.6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178"/>
        <v>37-48 months</v>
      </c>
      <c r="X5723">
        <f t="shared" si="179"/>
        <v>1426.95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178"/>
        <v>37-48 months</v>
      </c>
      <c r="X5724">
        <f t="shared" si="179"/>
        <v>2816.1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178"/>
        <v>49+ months</v>
      </c>
      <c r="X5725">
        <f t="shared" si="179"/>
        <v>4677.7000000000007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178"/>
        <v>0-12 months</v>
      </c>
      <c r="X5726">
        <f t="shared" si="179"/>
        <v>71.349999999999994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178"/>
        <v>37-48 months</v>
      </c>
      <c r="X5727">
        <f t="shared" si="179"/>
        <v>443.7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178"/>
        <v>37-48 months</v>
      </c>
      <c r="X5728">
        <f t="shared" si="179"/>
        <v>1001.1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178"/>
        <v>49+ months</v>
      </c>
      <c r="X5729">
        <f t="shared" si="179"/>
        <v>7714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178"/>
        <v>37-48 months</v>
      </c>
      <c r="X5730">
        <f t="shared" si="179"/>
        <v>1162.2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178"/>
        <v>37-48 months</v>
      </c>
      <c r="X5731">
        <f t="shared" si="179"/>
        <v>1837.8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178"/>
        <v>49+ months</v>
      </c>
      <c r="X5732">
        <f t="shared" si="179"/>
        <v>1326.6000000000001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178"/>
        <v>0-12 months</v>
      </c>
      <c r="X5733">
        <f t="shared" si="179"/>
        <v>199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178"/>
        <v>37-48 months</v>
      </c>
      <c r="X5734">
        <f t="shared" si="179"/>
        <v>1658.7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178"/>
        <v>49+ months</v>
      </c>
      <c r="X5735">
        <f t="shared" si="179"/>
        <v>1409.3500000000001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178"/>
        <v>49+ months</v>
      </c>
      <c r="X5736">
        <f t="shared" si="179"/>
        <v>6436.8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178"/>
        <v>37-48 months</v>
      </c>
      <c r="X5737">
        <f t="shared" si="179"/>
        <v>960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178"/>
        <v>0-12 months</v>
      </c>
      <c r="X5738">
        <f t="shared" si="179"/>
        <v>20.05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178"/>
        <v>37-48 months</v>
      </c>
      <c r="X5739">
        <f t="shared" si="179"/>
        <v>1498.5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178"/>
        <v>0-12 months</v>
      </c>
      <c r="X5740">
        <f t="shared" si="179"/>
        <v>20.6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178"/>
        <v>49+ months</v>
      </c>
      <c r="X5741">
        <f t="shared" si="179"/>
        <v>6894.3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178"/>
        <v>49+ months</v>
      </c>
      <c r="X5742">
        <f t="shared" si="179"/>
        <v>2697.9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178"/>
        <v>37-48 months</v>
      </c>
      <c r="X5743">
        <f t="shared" si="179"/>
        <v>1899.05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178"/>
        <v>49+ months</v>
      </c>
      <c r="X5744">
        <f t="shared" si="179"/>
        <v>8244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178"/>
        <v>37-48 months</v>
      </c>
      <c r="X5745">
        <f t="shared" si="179"/>
        <v>767.6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178"/>
        <v>37-48 months</v>
      </c>
      <c r="X5746">
        <f t="shared" si="179"/>
        <v>2232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178"/>
        <v>49+ months</v>
      </c>
      <c r="X5747">
        <f t="shared" si="179"/>
        <v>1476.2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178"/>
        <v>0-12 months</v>
      </c>
      <c r="X5748">
        <f t="shared" si="179"/>
        <v>810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178"/>
        <v>37-48 months</v>
      </c>
      <c r="X5749">
        <f t="shared" si="179"/>
        <v>2329.6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178"/>
        <v>37-48 months</v>
      </c>
      <c r="X5750">
        <f t="shared" si="179"/>
        <v>2096.85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178"/>
        <v>49+ months</v>
      </c>
      <c r="X5751">
        <f t="shared" si="179"/>
        <v>5870.5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178"/>
        <v>37-48 months</v>
      </c>
      <c r="X5752">
        <f t="shared" si="179"/>
        <v>911.95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178"/>
        <v>37-48 months</v>
      </c>
      <c r="X5753">
        <f t="shared" si="179"/>
        <v>951.75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178"/>
        <v>49+ months</v>
      </c>
      <c r="X5754">
        <f t="shared" si="179"/>
        <v>1794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178"/>
        <v>0-12 months</v>
      </c>
      <c r="X5755">
        <f t="shared" si="179"/>
        <v>39.799999999999997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178"/>
        <v>37-48 months</v>
      </c>
      <c r="X5756">
        <f t="shared" si="179"/>
        <v>419.1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178"/>
        <v>37-48 months</v>
      </c>
      <c r="X5757">
        <f t="shared" si="179"/>
        <v>1447.5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178"/>
        <v>49+ months</v>
      </c>
      <c r="X5758">
        <f t="shared" si="179"/>
        <v>1052.0500000000002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178"/>
        <v>37-48 months</v>
      </c>
      <c r="X5759">
        <f t="shared" si="179"/>
        <v>719.6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178"/>
        <v>37-48 months</v>
      </c>
      <c r="X5760">
        <f t="shared" si="179"/>
        <v>446.6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178"/>
        <v>0-12 months</v>
      </c>
      <c r="X5761">
        <f t="shared" si="179"/>
        <v>70.150000000000006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178"/>
        <v>37-48 months</v>
      </c>
      <c r="X5762">
        <f t="shared" si="179"/>
        <v>1464.8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180">IF(F5763&lt;=12,"0-12 months",
IF(A5763&lt;=24,"13-24 months",
IF(A5763&lt;=36,"25-36 months",
IF(F5763&lt;=48,"37-48 months","49+ months"))))</f>
        <v>37-48 months</v>
      </c>
      <c r="X5763">
        <f t="shared" ref="X5763:X5826" si="181">S5763 * F5763</f>
        <v>1891.1999999999998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180"/>
        <v>37-48 months</v>
      </c>
      <c r="X5764">
        <f t="shared" si="181"/>
        <v>3171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180"/>
        <v>0-12 months</v>
      </c>
      <c r="X5765">
        <f t="shared" si="181"/>
        <v>210.75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180"/>
        <v>49+ months</v>
      </c>
      <c r="X5766">
        <f t="shared" si="181"/>
        <v>5343.75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180"/>
        <v>49+ months</v>
      </c>
      <c r="X5767">
        <f t="shared" si="181"/>
        <v>6565.4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180"/>
        <v>37-48 months</v>
      </c>
      <c r="X5768">
        <f t="shared" si="181"/>
        <v>1380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180"/>
        <v>49+ months</v>
      </c>
      <c r="X5769">
        <f t="shared" si="181"/>
        <v>3887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180"/>
        <v>37-48 months</v>
      </c>
      <c r="X5770">
        <f t="shared" si="181"/>
        <v>3988.6000000000004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180"/>
        <v>49+ months</v>
      </c>
      <c r="X5771">
        <f t="shared" si="181"/>
        <v>7739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180"/>
        <v>37-48 months</v>
      </c>
      <c r="X5772">
        <f t="shared" si="181"/>
        <v>2519.6999999999998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180"/>
        <v>0-12 months</v>
      </c>
      <c r="X5773">
        <f t="shared" si="181"/>
        <v>244.79999999999998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180"/>
        <v>49+ months</v>
      </c>
      <c r="X5774">
        <f t="shared" si="181"/>
        <v>5654.55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180"/>
        <v>37-48 months</v>
      </c>
      <c r="X5775">
        <f t="shared" si="181"/>
        <v>2119.25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180"/>
        <v>0-12 months</v>
      </c>
      <c r="X5776">
        <f t="shared" si="181"/>
        <v>328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180"/>
        <v>49+ months</v>
      </c>
      <c r="X5777">
        <f t="shared" si="181"/>
        <v>4785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180"/>
        <v>49+ months</v>
      </c>
      <c r="X5778">
        <f t="shared" si="181"/>
        <v>5925.5999999999995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180"/>
        <v>49+ months</v>
      </c>
      <c r="X5779">
        <f t="shared" si="181"/>
        <v>4906.8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180"/>
        <v>0-12 months</v>
      </c>
      <c r="X5780">
        <f t="shared" si="181"/>
        <v>20.3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180"/>
        <v>37-48 months</v>
      </c>
      <c r="X5781">
        <f t="shared" si="181"/>
        <v>3726.45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180"/>
        <v>49+ months</v>
      </c>
      <c r="X5782">
        <f t="shared" si="181"/>
        <v>1070.5999999999999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180"/>
        <v>37-48 months</v>
      </c>
      <c r="X5783">
        <f t="shared" si="181"/>
        <v>2408.4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180"/>
        <v>0-12 months</v>
      </c>
      <c r="X5784">
        <f t="shared" si="181"/>
        <v>69.650000000000006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180"/>
        <v>0-12 months</v>
      </c>
      <c r="X5785">
        <f t="shared" si="181"/>
        <v>89.3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180"/>
        <v>37-48 months</v>
      </c>
      <c r="X5786">
        <f t="shared" si="181"/>
        <v>1346.3999999999999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180"/>
        <v>37-48 months</v>
      </c>
      <c r="X5787">
        <f t="shared" si="181"/>
        <v>929.19999999999993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180"/>
        <v>49+ months</v>
      </c>
      <c r="X5788">
        <f t="shared" si="181"/>
        <v>6076.8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180"/>
        <v>37-48 months</v>
      </c>
      <c r="X5789">
        <f t="shared" si="181"/>
        <v>3151.7999999999997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180"/>
        <v>0-12 months</v>
      </c>
      <c r="X5790">
        <f t="shared" si="181"/>
        <v>100.6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180"/>
        <v>37-48 months</v>
      </c>
      <c r="X5791">
        <f t="shared" si="181"/>
        <v>495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180"/>
        <v>37-48 months</v>
      </c>
      <c r="X5792">
        <f t="shared" si="181"/>
        <v>2034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180"/>
        <v>49+ months</v>
      </c>
      <c r="X5793">
        <f t="shared" si="181"/>
        <v>6451.2000000000007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180"/>
        <v>37-48 months</v>
      </c>
      <c r="X5794">
        <f t="shared" si="181"/>
        <v>1444.5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180"/>
        <v>37-48 months</v>
      </c>
      <c r="X5795">
        <f t="shared" si="181"/>
        <v>777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180"/>
        <v>49+ months</v>
      </c>
      <c r="X5796">
        <f t="shared" si="181"/>
        <v>7902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180"/>
        <v>37-48 months</v>
      </c>
      <c r="X5797">
        <f t="shared" si="181"/>
        <v>4149.6000000000004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180"/>
        <v>37-48 months</v>
      </c>
      <c r="X5798">
        <f t="shared" si="181"/>
        <v>2820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180"/>
        <v>37-48 months</v>
      </c>
      <c r="X5799">
        <f t="shared" si="181"/>
        <v>1687.2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180"/>
        <v>0-12 months</v>
      </c>
      <c r="X5800">
        <f t="shared" si="181"/>
        <v>426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180"/>
        <v>37-48 months</v>
      </c>
      <c r="X5801">
        <f t="shared" si="181"/>
        <v>456.3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180"/>
        <v>37-48 months</v>
      </c>
      <c r="X5802">
        <f t="shared" si="181"/>
        <v>1360.85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180"/>
        <v>37-48 months</v>
      </c>
      <c r="X5803">
        <f t="shared" si="181"/>
        <v>2568.6999999999998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180"/>
        <v>37-48 months</v>
      </c>
      <c r="X5804">
        <f t="shared" si="181"/>
        <v>2081.1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180"/>
        <v>0-12 months</v>
      </c>
      <c r="X5805">
        <f t="shared" si="181"/>
        <v>406.5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180"/>
        <v>49+ months</v>
      </c>
      <c r="X5806">
        <f t="shared" si="181"/>
        <v>1696.8999999999999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180"/>
        <v>37-48 months</v>
      </c>
      <c r="X5807">
        <f t="shared" si="181"/>
        <v>1261.6000000000001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180"/>
        <v>0-12 months</v>
      </c>
      <c r="X5808">
        <f t="shared" si="181"/>
        <v>39.200000000000003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180"/>
        <v>49+ months</v>
      </c>
      <c r="X5809">
        <f t="shared" si="181"/>
        <v>1071.6000000000001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180"/>
        <v>49+ months</v>
      </c>
      <c r="X5810">
        <f t="shared" si="181"/>
        <v>7804.8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180"/>
        <v>0-12 months</v>
      </c>
      <c r="X5811">
        <f t="shared" si="181"/>
        <v>515.70000000000005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180"/>
        <v>37-48 months</v>
      </c>
      <c r="X5812">
        <f t="shared" si="181"/>
        <v>1452.65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180"/>
        <v>49+ months</v>
      </c>
      <c r="X5813">
        <f t="shared" si="181"/>
        <v>4934.9000000000005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180"/>
        <v>0-12 months</v>
      </c>
      <c r="X5814">
        <f t="shared" si="181"/>
        <v>71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180"/>
        <v>37-48 months</v>
      </c>
      <c r="X5815">
        <f t="shared" si="181"/>
        <v>5366.4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180"/>
        <v>37-48 months</v>
      </c>
      <c r="X5816">
        <f t="shared" si="181"/>
        <v>329.6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180"/>
        <v>0-12 months</v>
      </c>
      <c r="X5817">
        <f t="shared" si="181"/>
        <v>765.44999999999993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180"/>
        <v>0-12 months</v>
      </c>
      <c r="X5818">
        <f t="shared" si="181"/>
        <v>133.80000000000001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180"/>
        <v>0-12 months</v>
      </c>
      <c r="X5819">
        <f t="shared" si="181"/>
        <v>44.4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180"/>
        <v>49+ months</v>
      </c>
      <c r="X5820">
        <f t="shared" si="181"/>
        <v>6831.5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180"/>
        <v>49+ months</v>
      </c>
      <c r="X5821">
        <f t="shared" si="181"/>
        <v>8060.5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180"/>
        <v>49+ months</v>
      </c>
      <c r="X5822">
        <f t="shared" si="181"/>
        <v>3588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180"/>
        <v>49+ months</v>
      </c>
      <c r="X5823">
        <f t="shared" si="181"/>
        <v>1814.7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180"/>
        <v>37-48 months</v>
      </c>
      <c r="X5824">
        <f t="shared" si="181"/>
        <v>2469.25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180"/>
        <v>37-48 months</v>
      </c>
      <c r="X5825">
        <f t="shared" si="181"/>
        <v>441.1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180"/>
        <v>49+ months</v>
      </c>
      <c r="X5826">
        <f t="shared" si="181"/>
        <v>5270.0999999999995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182">IF(F5827&lt;=12,"0-12 months",
IF(A5827&lt;=24,"13-24 months",
IF(A5827&lt;=36,"25-36 months",
IF(F5827&lt;=48,"37-48 months","49+ months"))))</f>
        <v>0-12 months</v>
      </c>
      <c r="X5827">
        <f t="shared" ref="X5827:X5890" si="183">S5827 * F5827</f>
        <v>70.3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182"/>
        <v>0-12 months</v>
      </c>
      <c r="X5828">
        <f t="shared" si="183"/>
        <v>79.349999999999994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182"/>
        <v>37-48 months</v>
      </c>
      <c r="X5829">
        <f t="shared" si="183"/>
        <v>3061.7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182"/>
        <v>49+ months</v>
      </c>
      <c r="X5830">
        <f t="shared" si="183"/>
        <v>1760.3999999999999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182"/>
        <v>37-48 months</v>
      </c>
      <c r="X5831">
        <f t="shared" si="183"/>
        <v>1858.45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182"/>
        <v>37-48 months</v>
      </c>
      <c r="X5832">
        <f t="shared" si="183"/>
        <v>760.5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182"/>
        <v>0-12 months</v>
      </c>
      <c r="X5833">
        <f t="shared" si="183"/>
        <v>817.19999999999993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182"/>
        <v>37-48 months</v>
      </c>
      <c r="X5834">
        <f t="shared" si="183"/>
        <v>1409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182"/>
        <v>37-48 months</v>
      </c>
      <c r="X5835">
        <f t="shared" si="183"/>
        <v>651.69999999999993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182"/>
        <v>49+ months</v>
      </c>
      <c r="X5836">
        <f t="shared" si="183"/>
        <v>6828.25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182"/>
        <v>37-48 months</v>
      </c>
      <c r="X5837">
        <f t="shared" si="183"/>
        <v>579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182"/>
        <v>0-12 months</v>
      </c>
      <c r="X5838">
        <f t="shared" si="183"/>
        <v>114.89999999999999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182"/>
        <v>0-12 months</v>
      </c>
      <c r="X5839">
        <f t="shared" si="183"/>
        <v>102.8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182"/>
        <v>49+ months</v>
      </c>
      <c r="X5840">
        <f t="shared" si="183"/>
        <v>3808.0499999999997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182"/>
        <v>0-12 months</v>
      </c>
      <c r="X5841">
        <f t="shared" si="183"/>
        <v>527.80000000000007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182"/>
        <v>49+ months</v>
      </c>
      <c r="X5842">
        <f t="shared" si="183"/>
        <v>3031.7000000000003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182"/>
        <v>49+ months</v>
      </c>
      <c r="X5843">
        <f t="shared" si="183"/>
        <v>3167.5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182"/>
        <v>37-48 months</v>
      </c>
      <c r="X5844">
        <f t="shared" si="183"/>
        <v>1023.75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182"/>
        <v>37-48 months</v>
      </c>
      <c r="X5845">
        <f t="shared" si="183"/>
        <v>2856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182"/>
        <v>0-12 months</v>
      </c>
      <c r="X5846">
        <f t="shared" si="183"/>
        <v>140.80000000000001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182"/>
        <v>0-12 months</v>
      </c>
      <c r="X5847">
        <f t="shared" si="183"/>
        <v>227.39999999999998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182"/>
        <v>0-12 months</v>
      </c>
      <c r="X5848">
        <f t="shared" si="183"/>
        <v>228.29999999999998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182"/>
        <v>49+ months</v>
      </c>
      <c r="X5849">
        <f t="shared" si="183"/>
        <v>5828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182"/>
        <v>49+ months</v>
      </c>
      <c r="X5850">
        <f t="shared" si="183"/>
        <v>7484.4000000000005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182"/>
        <v>49+ months</v>
      </c>
      <c r="X5851">
        <f t="shared" si="183"/>
        <v>1256.8499999999999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182"/>
        <v>37-48 months</v>
      </c>
      <c r="X5852">
        <f t="shared" si="183"/>
        <v>1426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182"/>
        <v>37-48 months</v>
      </c>
      <c r="X5853">
        <f t="shared" si="183"/>
        <v>3878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182"/>
        <v>37-48 months</v>
      </c>
      <c r="X5854">
        <f t="shared" si="183"/>
        <v>1451.1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182"/>
        <v>49+ months</v>
      </c>
      <c r="X5855">
        <f t="shared" si="183"/>
        <v>5958.2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182"/>
        <v>37-48 months</v>
      </c>
      <c r="X5856">
        <f t="shared" si="183"/>
        <v>732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182"/>
        <v>49+ months</v>
      </c>
      <c r="X5857">
        <f t="shared" si="183"/>
        <v>2780.25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182"/>
        <v>0-12 months</v>
      </c>
      <c r="X5858">
        <f t="shared" si="183"/>
        <v>491.15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182"/>
        <v>37-48 months</v>
      </c>
      <c r="X5859">
        <f t="shared" si="183"/>
        <v>1500.25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182"/>
        <v>49+ months</v>
      </c>
      <c r="X5860">
        <f t="shared" si="183"/>
        <v>1186.45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182"/>
        <v>49+ months</v>
      </c>
      <c r="X5861">
        <f t="shared" si="183"/>
        <v>6340.3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182"/>
        <v>0-12 months</v>
      </c>
      <c r="X5862">
        <f t="shared" si="183"/>
        <v>140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182"/>
        <v>37-48 months</v>
      </c>
      <c r="X5863">
        <f t="shared" si="183"/>
        <v>673.75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182"/>
        <v>37-48 months</v>
      </c>
      <c r="X5864">
        <f t="shared" si="183"/>
        <v>1198.5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182"/>
        <v>37-48 months</v>
      </c>
      <c r="X5865">
        <f t="shared" si="183"/>
        <v>2044.35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182"/>
        <v>37-48 months</v>
      </c>
      <c r="X5866">
        <f t="shared" si="183"/>
        <v>923.55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182"/>
        <v>0-12 months</v>
      </c>
      <c r="X5867">
        <f t="shared" si="183"/>
        <v>62.550000000000004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182"/>
        <v>0-12 months</v>
      </c>
      <c r="X5868">
        <f t="shared" si="183"/>
        <v>58.949999999999996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182"/>
        <v>37-48 months</v>
      </c>
      <c r="X5869">
        <f t="shared" si="183"/>
        <v>851.40000000000009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182"/>
        <v>0-12 months</v>
      </c>
      <c r="X5870">
        <f t="shared" si="183"/>
        <v>44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182"/>
        <v>37-48 months</v>
      </c>
      <c r="X5871">
        <f t="shared" si="183"/>
        <v>4153.6000000000004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182"/>
        <v>0-12 months</v>
      </c>
      <c r="X5872">
        <f t="shared" si="183"/>
        <v>129.5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182"/>
        <v>37-48 months</v>
      </c>
      <c r="X5873">
        <f t="shared" si="183"/>
        <v>1335.6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182"/>
        <v>0-12 months</v>
      </c>
      <c r="X5874">
        <f t="shared" si="183"/>
        <v>69.650000000000006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182"/>
        <v>37-48 months</v>
      </c>
      <c r="X5875">
        <f t="shared" si="183"/>
        <v>1357.2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182"/>
        <v>0-12 months</v>
      </c>
      <c r="X5876">
        <f t="shared" si="183"/>
        <v>1006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182"/>
        <v>49+ months</v>
      </c>
      <c r="X5877">
        <f t="shared" si="183"/>
        <v>4615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182"/>
        <v>0-12 months</v>
      </c>
      <c r="X5878">
        <f t="shared" si="183"/>
        <v>86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182"/>
        <v>49+ months</v>
      </c>
      <c r="X5879">
        <f t="shared" si="183"/>
        <v>5668.35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182"/>
        <v>0-12 months</v>
      </c>
      <c r="X5880">
        <f t="shared" si="183"/>
        <v>63.599999999999994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182"/>
        <v>37-48 months</v>
      </c>
      <c r="X5881">
        <f t="shared" si="183"/>
        <v>2014.6499999999999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182"/>
        <v>0-12 months</v>
      </c>
      <c r="X5882">
        <f t="shared" si="183"/>
        <v>88.800000000000011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182"/>
        <v>37-48 months</v>
      </c>
      <c r="X5883">
        <f t="shared" si="183"/>
        <v>2718.3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182"/>
        <v>37-48 months</v>
      </c>
      <c r="X5884">
        <f t="shared" si="183"/>
        <v>275.8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182"/>
        <v>37-48 months</v>
      </c>
      <c r="X5885">
        <f t="shared" si="183"/>
        <v>263.90000000000003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182"/>
        <v>37-48 months</v>
      </c>
      <c r="X5886">
        <f t="shared" si="183"/>
        <v>2755.4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182"/>
        <v>37-48 months</v>
      </c>
      <c r="X5887">
        <f t="shared" si="183"/>
        <v>560.05000000000007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182"/>
        <v>37-48 months</v>
      </c>
      <c r="X5888">
        <f t="shared" si="183"/>
        <v>928.25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182"/>
        <v>37-48 months</v>
      </c>
      <c r="X5889">
        <f t="shared" si="183"/>
        <v>855.09999999999991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182"/>
        <v>49+ months</v>
      </c>
      <c r="X5890">
        <f t="shared" si="183"/>
        <v>4684.3999999999996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184">IF(F5891&lt;=12,"0-12 months",
IF(A5891&lt;=24,"13-24 months",
IF(A5891&lt;=36,"25-36 months",
IF(F5891&lt;=48,"37-48 months","49+ months"))))</f>
        <v>49+ months</v>
      </c>
      <c r="X5891">
        <f t="shared" ref="X5891:X5954" si="185">S5891 * F5891</f>
        <v>2964.75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184"/>
        <v>49+ months</v>
      </c>
      <c r="X5892">
        <f t="shared" si="185"/>
        <v>5889.15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184"/>
        <v>0-12 months</v>
      </c>
      <c r="X5893">
        <f t="shared" si="185"/>
        <v>457.6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184"/>
        <v>0-12 months</v>
      </c>
      <c r="X5894">
        <f t="shared" si="185"/>
        <v>516.5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184"/>
        <v>0-12 months</v>
      </c>
      <c r="X5895">
        <f t="shared" si="185"/>
        <v>288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184"/>
        <v>37-48 months</v>
      </c>
      <c r="X5896">
        <f t="shared" si="185"/>
        <v>4538.25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184"/>
        <v>37-48 months</v>
      </c>
      <c r="X5897">
        <f t="shared" si="185"/>
        <v>2334.15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184"/>
        <v>49+ months</v>
      </c>
      <c r="X5898">
        <f t="shared" si="185"/>
        <v>1806.95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184"/>
        <v>49+ months</v>
      </c>
      <c r="X5899">
        <f t="shared" si="185"/>
        <v>1696.8999999999999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184"/>
        <v>37-48 months</v>
      </c>
      <c r="X5900">
        <f t="shared" si="185"/>
        <v>796.94999999999993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184"/>
        <v>49+ months</v>
      </c>
      <c r="X5901">
        <f t="shared" si="185"/>
        <v>5071.9000000000005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184"/>
        <v>37-48 months</v>
      </c>
      <c r="X5902">
        <f t="shared" si="185"/>
        <v>1487.4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184"/>
        <v>49+ months</v>
      </c>
      <c r="X5903">
        <f t="shared" si="185"/>
        <v>4140.5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184"/>
        <v>0-12 months</v>
      </c>
      <c r="X5904">
        <f t="shared" si="185"/>
        <v>457.65000000000003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184"/>
        <v>49+ months</v>
      </c>
      <c r="X5905">
        <f t="shared" si="185"/>
        <v>4763.2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184"/>
        <v>49+ months</v>
      </c>
      <c r="X5906">
        <f t="shared" si="185"/>
        <v>6923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184"/>
        <v>0-12 months</v>
      </c>
      <c r="X5907">
        <f t="shared" si="185"/>
        <v>85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184"/>
        <v>37-48 months</v>
      </c>
      <c r="X5908">
        <f t="shared" si="185"/>
        <v>1105.3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184"/>
        <v>0-12 months</v>
      </c>
      <c r="X5909">
        <f t="shared" si="185"/>
        <v>44.3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184"/>
        <v>0-12 months</v>
      </c>
      <c r="X5910">
        <f t="shared" si="185"/>
        <v>20.2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184"/>
        <v>49+ months</v>
      </c>
      <c r="X5911">
        <f t="shared" si="185"/>
        <v>4170.4000000000005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184"/>
        <v>0-12 months</v>
      </c>
      <c r="X5912">
        <f t="shared" si="185"/>
        <v>365.4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184"/>
        <v>0-12 months</v>
      </c>
      <c r="X5913">
        <f t="shared" si="185"/>
        <v>239.40000000000003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184"/>
        <v>37-48 months</v>
      </c>
      <c r="X5914">
        <f t="shared" si="185"/>
        <v>4004.4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184"/>
        <v>37-48 months</v>
      </c>
      <c r="X5915">
        <f t="shared" si="185"/>
        <v>2265.9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184"/>
        <v>37-48 months</v>
      </c>
      <c r="X5916">
        <f t="shared" si="185"/>
        <v>1357.5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184"/>
        <v>49+ months</v>
      </c>
      <c r="X5917">
        <f t="shared" si="185"/>
        <v>1317.9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184"/>
        <v>49+ months</v>
      </c>
      <c r="X5918">
        <f t="shared" si="185"/>
        <v>8118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184"/>
        <v>0-12 months</v>
      </c>
      <c r="X5919">
        <f t="shared" si="185"/>
        <v>79.8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184"/>
        <v>49+ months</v>
      </c>
      <c r="X5920">
        <f t="shared" si="185"/>
        <v>1150.5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184"/>
        <v>49+ months</v>
      </c>
      <c r="X5921">
        <f t="shared" si="185"/>
        <v>4391.8499999999995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184"/>
        <v>37-48 months</v>
      </c>
      <c r="X5922">
        <f t="shared" si="185"/>
        <v>2048.7999999999997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184"/>
        <v>37-48 months</v>
      </c>
      <c r="X5923">
        <f t="shared" si="185"/>
        <v>2111.4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184"/>
        <v>49+ months</v>
      </c>
      <c r="X5924">
        <f t="shared" si="185"/>
        <v>7578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184"/>
        <v>0-12 months</v>
      </c>
      <c r="X5925">
        <f t="shared" si="185"/>
        <v>535.5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184"/>
        <v>49+ months</v>
      </c>
      <c r="X5926">
        <f t="shared" si="185"/>
        <v>1280.3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184"/>
        <v>37-48 months</v>
      </c>
      <c r="X5927">
        <f t="shared" si="185"/>
        <v>1374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184"/>
        <v>0-12 months</v>
      </c>
      <c r="X5928">
        <f t="shared" si="185"/>
        <v>471.90000000000003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184"/>
        <v>49+ months</v>
      </c>
      <c r="X5929">
        <f t="shared" si="185"/>
        <v>1262.25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184"/>
        <v>49+ months</v>
      </c>
      <c r="X5930">
        <f t="shared" si="185"/>
        <v>1204.75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184"/>
        <v>49+ months</v>
      </c>
      <c r="X5931">
        <f t="shared" si="185"/>
        <v>5524.2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184"/>
        <v>49+ months</v>
      </c>
      <c r="X5932">
        <f t="shared" si="185"/>
        <v>6098.4000000000005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184"/>
        <v>37-48 months</v>
      </c>
      <c r="X5933">
        <f t="shared" si="185"/>
        <v>1274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184"/>
        <v>0-12 months</v>
      </c>
      <c r="X5934">
        <f t="shared" si="185"/>
        <v>472.25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184"/>
        <v>0-12 months</v>
      </c>
      <c r="X5935">
        <f t="shared" si="185"/>
        <v>315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184"/>
        <v>37-48 months</v>
      </c>
      <c r="X5936">
        <f t="shared" si="185"/>
        <v>2440.1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184"/>
        <v>37-48 months</v>
      </c>
      <c r="X5937">
        <f t="shared" si="185"/>
        <v>778.69999999999993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184"/>
        <v>37-48 months</v>
      </c>
      <c r="X5938">
        <f t="shared" si="185"/>
        <v>758.1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184"/>
        <v>0-12 months</v>
      </c>
      <c r="X5939">
        <f t="shared" si="185"/>
        <v>672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184"/>
        <v>37-48 months</v>
      </c>
      <c r="X5940">
        <f t="shared" si="185"/>
        <v>3702.6000000000004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184"/>
        <v>37-48 months</v>
      </c>
      <c r="X5941">
        <f t="shared" si="185"/>
        <v>604.80000000000007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184"/>
        <v>49+ months</v>
      </c>
      <c r="X5942">
        <f t="shared" si="185"/>
        <v>4807.5999999999995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184"/>
        <v>37-48 months</v>
      </c>
      <c r="X5943">
        <f t="shared" si="185"/>
        <v>1254.6000000000001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184"/>
        <v>0-12 months</v>
      </c>
      <c r="X5944">
        <f t="shared" si="185"/>
        <v>438.75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184"/>
        <v>0-12 months</v>
      </c>
      <c r="X5945">
        <f t="shared" si="185"/>
        <v>84.85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184"/>
        <v>0-12 months</v>
      </c>
      <c r="X5946">
        <f t="shared" si="185"/>
        <v>679.8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184"/>
        <v>49+ months</v>
      </c>
      <c r="X5947">
        <f t="shared" si="185"/>
        <v>5432.0999999999995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184"/>
        <v>37-48 months</v>
      </c>
      <c r="X5948">
        <f t="shared" si="185"/>
        <v>3103.8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184"/>
        <v>37-48 months</v>
      </c>
      <c r="X5949">
        <f t="shared" si="185"/>
        <v>808.5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184"/>
        <v>49+ months</v>
      </c>
      <c r="X5950">
        <f t="shared" si="185"/>
        <v>5922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184"/>
        <v>49+ months</v>
      </c>
      <c r="X5951">
        <f t="shared" si="185"/>
        <v>3056.6000000000004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184"/>
        <v>0-12 months</v>
      </c>
      <c r="X5952">
        <f t="shared" si="185"/>
        <v>24.7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184"/>
        <v>37-48 months</v>
      </c>
      <c r="X5953">
        <f t="shared" si="185"/>
        <v>3711.1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184"/>
        <v>0-12 months</v>
      </c>
      <c r="X5954">
        <f t="shared" si="185"/>
        <v>101.8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186">IF(F5955&lt;=12,"0-12 months",
IF(A5955&lt;=24,"13-24 months",
IF(A5955&lt;=36,"25-36 months",
IF(F5955&lt;=48,"37-48 months","49+ months"))))</f>
        <v>0-12 months</v>
      </c>
      <c r="X5955">
        <f t="shared" ref="X5955:X6018" si="187">S5955 * F5955</f>
        <v>50.7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186"/>
        <v>37-48 months</v>
      </c>
      <c r="X5956">
        <f t="shared" si="187"/>
        <v>1100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186"/>
        <v>49+ months</v>
      </c>
      <c r="X5957">
        <f t="shared" si="187"/>
        <v>4924.8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186"/>
        <v>37-48 months</v>
      </c>
      <c r="X5958">
        <f t="shared" si="187"/>
        <v>2786.9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186"/>
        <v>37-48 months</v>
      </c>
      <c r="X5959">
        <f t="shared" si="187"/>
        <v>1413.8999999999999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186"/>
        <v>0-12 months</v>
      </c>
      <c r="X5960">
        <f t="shared" si="187"/>
        <v>605.54999999999995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186"/>
        <v>37-48 months</v>
      </c>
      <c r="X5961">
        <f t="shared" si="187"/>
        <v>653.4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186"/>
        <v>49+ months</v>
      </c>
      <c r="X5962">
        <f t="shared" si="187"/>
        <v>5235.9000000000005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186"/>
        <v>0-12 months</v>
      </c>
      <c r="X5963">
        <f t="shared" si="187"/>
        <v>35.9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186"/>
        <v>37-48 months</v>
      </c>
      <c r="X5964">
        <f t="shared" si="187"/>
        <v>1292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186"/>
        <v>37-48 months</v>
      </c>
      <c r="X5965">
        <f t="shared" si="187"/>
        <v>1730.3000000000002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186"/>
        <v>49+ months</v>
      </c>
      <c r="X5966">
        <f t="shared" si="187"/>
        <v>3025.75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186"/>
        <v>37-48 months</v>
      </c>
      <c r="X5967">
        <f t="shared" si="187"/>
        <v>2293.2000000000003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186"/>
        <v>37-48 months</v>
      </c>
      <c r="X5968">
        <f t="shared" si="187"/>
        <v>4176.9000000000005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186"/>
        <v>0-12 months</v>
      </c>
      <c r="X5969">
        <f t="shared" si="187"/>
        <v>100.8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186"/>
        <v>0-12 months</v>
      </c>
      <c r="X5970">
        <f t="shared" si="187"/>
        <v>888.59999999999991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186"/>
        <v>37-48 months</v>
      </c>
      <c r="X5971">
        <f t="shared" si="187"/>
        <v>2715.6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186"/>
        <v>0-12 months</v>
      </c>
      <c r="X5972">
        <f t="shared" si="187"/>
        <v>445.75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186"/>
        <v>49+ months</v>
      </c>
      <c r="X5973">
        <f t="shared" si="187"/>
        <v>1320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186"/>
        <v>37-48 months</v>
      </c>
      <c r="X5974">
        <f t="shared" si="187"/>
        <v>825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186"/>
        <v>49+ months</v>
      </c>
      <c r="X5975">
        <f t="shared" si="187"/>
        <v>6681.6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186"/>
        <v>0-12 months</v>
      </c>
      <c r="X5976">
        <f t="shared" si="187"/>
        <v>200.5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186"/>
        <v>0-12 months</v>
      </c>
      <c r="X5977">
        <f t="shared" si="187"/>
        <v>628.25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186"/>
        <v>37-48 months</v>
      </c>
      <c r="X5978">
        <f t="shared" si="187"/>
        <v>994.69999999999993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186"/>
        <v>49+ months</v>
      </c>
      <c r="X5979">
        <f t="shared" si="187"/>
        <v>1177.05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186"/>
        <v>37-48 months</v>
      </c>
      <c r="X5980">
        <f t="shared" si="187"/>
        <v>3875.5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186"/>
        <v>49+ months</v>
      </c>
      <c r="X5981">
        <f t="shared" si="187"/>
        <v>1041.4499999999998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186"/>
        <v>37-48 months</v>
      </c>
      <c r="X5982">
        <f t="shared" si="187"/>
        <v>1357.4499999999998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186"/>
        <v>37-48 months</v>
      </c>
      <c r="X5983">
        <f t="shared" si="187"/>
        <v>767.6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186"/>
        <v>37-48 months</v>
      </c>
      <c r="X5984">
        <f t="shared" si="187"/>
        <v>297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186"/>
        <v>37-48 months</v>
      </c>
      <c r="X5985">
        <f t="shared" si="187"/>
        <v>1107.7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186"/>
        <v>37-48 months</v>
      </c>
      <c r="X5986">
        <f t="shared" si="187"/>
        <v>1192.1000000000001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186"/>
        <v>49+ months</v>
      </c>
      <c r="X5987">
        <f t="shared" si="187"/>
        <v>4252.2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186"/>
        <v>0-12 months</v>
      </c>
      <c r="X5988">
        <f t="shared" si="187"/>
        <v>870.65000000000009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186"/>
        <v>0-12 months</v>
      </c>
      <c r="X5989">
        <f t="shared" si="187"/>
        <v>20.350000000000001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186"/>
        <v>0-12 months</v>
      </c>
      <c r="X5990">
        <f t="shared" si="187"/>
        <v>252.60000000000002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186"/>
        <v>0-12 months</v>
      </c>
      <c r="X5991">
        <f t="shared" si="187"/>
        <v>283.79999999999995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186"/>
        <v>37-48 months</v>
      </c>
      <c r="X5992">
        <f t="shared" si="187"/>
        <v>3409.2000000000003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186"/>
        <v>37-48 months</v>
      </c>
      <c r="X5993">
        <f t="shared" si="187"/>
        <v>1508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186"/>
        <v>49+ months</v>
      </c>
      <c r="X5994">
        <f t="shared" si="187"/>
        <v>4709.25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186"/>
        <v>0-12 months</v>
      </c>
      <c r="X5995">
        <f t="shared" si="187"/>
        <v>149.9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186"/>
        <v>37-48 months</v>
      </c>
      <c r="X5996">
        <f t="shared" si="187"/>
        <v>4418.4000000000005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186"/>
        <v>49+ months</v>
      </c>
      <c r="X5997">
        <f t="shared" si="187"/>
        <v>8060.4000000000005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186"/>
        <v>49+ months</v>
      </c>
      <c r="X5998">
        <f t="shared" si="187"/>
        <v>1230.7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186"/>
        <v>0-12 months</v>
      </c>
      <c r="X5999">
        <f t="shared" si="187"/>
        <v>538.5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186"/>
        <v>37-48 months</v>
      </c>
      <c r="X6000">
        <f t="shared" si="187"/>
        <v>962.40000000000009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186"/>
        <v>37-48 months</v>
      </c>
      <c r="X6001">
        <f t="shared" si="187"/>
        <v>3813.25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186"/>
        <v>49+ months</v>
      </c>
      <c r="X6002">
        <f t="shared" si="187"/>
        <v>1021.8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186"/>
        <v>0-12 months</v>
      </c>
      <c r="X6003">
        <f t="shared" si="187"/>
        <v>24.9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186"/>
        <v>0-12 months</v>
      </c>
      <c r="X6004">
        <f t="shared" si="187"/>
        <v>497.09999999999997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186"/>
        <v>49+ months</v>
      </c>
      <c r="X6005">
        <f t="shared" si="187"/>
        <v>6617.2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186"/>
        <v>49+ months</v>
      </c>
      <c r="X6006">
        <f t="shared" si="187"/>
        <v>5681.5999999999995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186"/>
        <v>49+ months</v>
      </c>
      <c r="X6007">
        <f t="shared" si="187"/>
        <v>4305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186"/>
        <v>37-48 months</v>
      </c>
      <c r="X6008">
        <f t="shared" si="187"/>
        <v>698.05000000000007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186"/>
        <v>37-48 months</v>
      </c>
      <c r="X6009">
        <f t="shared" si="187"/>
        <v>2139.15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186"/>
        <v>37-48 months</v>
      </c>
      <c r="X6010">
        <f t="shared" si="187"/>
        <v>292.5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186"/>
        <v>49+ months</v>
      </c>
      <c r="X6011">
        <f t="shared" si="187"/>
        <v>5504.0499999999993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186"/>
        <v>37-48 months</v>
      </c>
      <c r="X6012">
        <f t="shared" si="187"/>
        <v>580.79999999999995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186"/>
        <v>37-48 months</v>
      </c>
      <c r="X6013">
        <f t="shared" si="187"/>
        <v>715.95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186"/>
        <v>0-12 months</v>
      </c>
      <c r="X6014">
        <f t="shared" si="187"/>
        <v>418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186"/>
        <v>49+ months</v>
      </c>
      <c r="X6015">
        <f t="shared" si="187"/>
        <v>5032.5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186"/>
        <v>49+ months</v>
      </c>
      <c r="X6016">
        <f t="shared" si="187"/>
        <v>5081.3999999999996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186"/>
        <v>0-12 months</v>
      </c>
      <c r="X6017">
        <f t="shared" si="187"/>
        <v>223.64999999999998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186"/>
        <v>49+ months</v>
      </c>
      <c r="X6018">
        <f t="shared" si="187"/>
        <v>7374.6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188">IF(F6019&lt;=12,"0-12 months",
IF(A6019&lt;=24,"13-24 months",
IF(A6019&lt;=36,"25-36 months",
IF(F6019&lt;=48,"37-48 months","49+ months"))))</f>
        <v>0-12 months</v>
      </c>
      <c r="X6019">
        <f t="shared" ref="X6019:X6082" si="189">S6019 * F6019</f>
        <v>280.75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188"/>
        <v>37-48 months</v>
      </c>
      <c r="X6020">
        <f t="shared" si="189"/>
        <v>671.55000000000007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188"/>
        <v>37-48 months</v>
      </c>
      <c r="X6021">
        <f t="shared" si="189"/>
        <v>3302.5499999999997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188"/>
        <v>37-48 months</v>
      </c>
      <c r="X6022">
        <f t="shared" si="189"/>
        <v>2082.5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188"/>
        <v>37-48 months</v>
      </c>
      <c r="X6023">
        <f t="shared" si="189"/>
        <v>265.84999999999997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188"/>
        <v>37-48 months</v>
      </c>
      <c r="X6024">
        <f t="shared" si="189"/>
        <v>378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188"/>
        <v>49+ months</v>
      </c>
      <c r="X6025">
        <f t="shared" si="189"/>
        <v>999.6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188"/>
        <v>0-12 months</v>
      </c>
      <c r="X6026">
        <f t="shared" si="189"/>
        <v>274.5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188"/>
        <v>37-48 months</v>
      </c>
      <c r="X6027">
        <f t="shared" si="189"/>
        <v>1853.2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188"/>
        <v>37-48 months</v>
      </c>
      <c r="X6028">
        <f t="shared" si="189"/>
        <v>252.85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188"/>
        <v>37-48 months</v>
      </c>
      <c r="X6029">
        <f t="shared" si="189"/>
        <v>890.75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188"/>
        <v>0-12 months</v>
      </c>
      <c r="X6030">
        <f t="shared" si="189"/>
        <v>970.19999999999993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188"/>
        <v>0-12 months</v>
      </c>
      <c r="X6031">
        <f t="shared" si="189"/>
        <v>379.6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188"/>
        <v>37-48 months</v>
      </c>
      <c r="X6032">
        <f t="shared" si="189"/>
        <v>2109.15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188"/>
        <v>0-12 months</v>
      </c>
      <c r="X6033">
        <f t="shared" si="189"/>
        <v>351.6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188"/>
        <v>49+ months</v>
      </c>
      <c r="X6034">
        <f t="shared" si="189"/>
        <v>7160.4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188"/>
        <v>37-48 months</v>
      </c>
      <c r="X6035">
        <f t="shared" si="189"/>
        <v>2223.75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188"/>
        <v>0-12 months</v>
      </c>
      <c r="X6036">
        <f t="shared" si="189"/>
        <v>141.75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188"/>
        <v>49+ months</v>
      </c>
      <c r="X6037">
        <f t="shared" si="189"/>
        <v>7316.0999999999995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188"/>
        <v>49+ months</v>
      </c>
      <c r="X6038">
        <f t="shared" si="189"/>
        <v>5856.5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188"/>
        <v>49+ months</v>
      </c>
      <c r="X6039">
        <f t="shared" si="189"/>
        <v>6892.2000000000007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188"/>
        <v>49+ months</v>
      </c>
      <c r="X6040">
        <f t="shared" si="189"/>
        <v>7994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188"/>
        <v>37-48 months</v>
      </c>
      <c r="X6041">
        <f t="shared" si="189"/>
        <v>985.5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188"/>
        <v>0-12 months</v>
      </c>
      <c r="X6042">
        <f t="shared" si="189"/>
        <v>70.75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188"/>
        <v>0-12 months</v>
      </c>
      <c r="X6043">
        <f t="shared" si="189"/>
        <v>99.75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188"/>
        <v>37-48 months</v>
      </c>
      <c r="X6044">
        <f t="shared" si="189"/>
        <v>725.2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188"/>
        <v>0-12 months</v>
      </c>
      <c r="X6045">
        <f t="shared" si="189"/>
        <v>120.44999999999999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188"/>
        <v>0-12 months</v>
      </c>
      <c r="X6046">
        <f t="shared" si="189"/>
        <v>919.19999999999993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188"/>
        <v>37-48 months</v>
      </c>
      <c r="X6047">
        <f t="shared" si="189"/>
        <v>744.80000000000007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188"/>
        <v>0-12 months</v>
      </c>
      <c r="X6048">
        <f t="shared" si="189"/>
        <v>767.69999999999993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188"/>
        <v>37-48 months</v>
      </c>
      <c r="X6049">
        <f t="shared" si="189"/>
        <v>856.05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188"/>
        <v>37-48 months</v>
      </c>
      <c r="X6050">
        <f t="shared" si="189"/>
        <v>2739.05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188"/>
        <v>37-48 months</v>
      </c>
      <c r="X6051">
        <f t="shared" si="189"/>
        <v>942.35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188"/>
        <v>49+ months</v>
      </c>
      <c r="X6052">
        <f t="shared" si="189"/>
        <v>6063.4000000000005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188"/>
        <v>37-48 months</v>
      </c>
      <c r="X6053">
        <f t="shared" si="189"/>
        <v>320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188"/>
        <v>37-48 months</v>
      </c>
      <c r="X6054">
        <f t="shared" si="189"/>
        <v>3216.4500000000003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188"/>
        <v>37-48 months</v>
      </c>
      <c r="X6055">
        <f t="shared" si="189"/>
        <v>1079.3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188"/>
        <v>37-48 months</v>
      </c>
      <c r="X6056">
        <f t="shared" si="189"/>
        <v>3504.6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188"/>
        <v>0-12 months</v>
      </c>
      <c r="X6057">
        <f t="shared" si="189"/>
        <v>330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188"/>
        <v>49+ months</v>
      </c>
      <c r="X6058">
        <f t="shared" si="189"/>
        <v>4123.7999999999993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188"/>
        <v>37-48 months</v>
      </c>
      <c r="X6059">
        <f t="shared" si="189"/>
        <v>1169.45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188"/>
        <v>0-12 months</v>
      </c>
      <c r="X6060">
        <f t="shared" si="189"/>
        <v>504.9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188"/>
        <v>37-48 months</v>
      </c>
      <c r="X6061">
        <f t="shared" si="189"/>
        <v>1571.6999999999998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188"/>
        <v>0-12 months</v>
      </c>
      <c r="X6062">
        <f t="shared" si="189"/>
        <v>696.8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188"/>
        <v>37-48 months</v>
      </c>
      <c r="X6063">
        <f t="shared" si="189"/>
        <v>1287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188"/>
        <v>49+ months</v>
      </c>
      <c r="X6064">
        <f t="shared" si="189"/>
        <v>3911.3999999999996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188"/>
        <v>49+ months</v>
      </c>
      <c r="X6065">
        <f t="shared" si="189"/>
        <v>1344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188"/>
        <v>0-12 months</v>
      </c>
      <c r="X6066">
        <f t="shared" si="189"/>
        <v>45.3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188"/>
        <v>49+ months</v>
      </c>
      <c r="X6067">
        <f t="shared" si="189"/>
        <v>1475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188"/>
        <v>0-12 months</v>
      </c>
      <c r="X6068">
        <f t="shared" si="189"/>
        <v>189.9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188"/>
        <v>0-12 months</v>
      </c>
      <c r="X6069">
        <f t="shared" si="189"/>
        <v>247.09999999999997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188"/>
        <v>0-12 months</v>
      </c>
      <c r="X6070">
        <f t="shared" si="189"/>
        <v>534.59999999999991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188"/>
        <v>49+ months</v>
      </c>
      <c r="X6071">
        <f t="shared" si="189"/>
        <v>4528.25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188"/>
        <v>49+ months</v>
      </c>
      <c r="X6072">
        <f t="shared" si="189"/>
        <v>4941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188"/>
        <v>49+ months</v>
      </c>
      <c r="X6073">
        <f t="shared" si="189"/>
        <v>7599.5999999999995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188"/>
        <v>37-48 months</v>
      </c>
      <c r="X6074">
        <f t="shared" si="189"/>
        <v>244.4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188"/>
        <v>49+ months</v>
      </c>
      <c r="X6075">
        <f t="shared" si="189"/>
        <v>1593.6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188"/>
        <v>0-12 months</v>
      </c>
      <c r="X6076">
        <f t="shared" si="189"/>
        <v>23.45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188"/>
        <v>0-12 months</v>
      </c>
      <c r="X6077">
        <f t="shared" si="189"/>
        <v>649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188"/>
        <v>49+ months</v>
      </c>
      <c r="X6078">
        <f t="shared" si="189"/>
        <v>3987.75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188"/>
        <v>49+ months</v>
      </c>
      <c r="X6079">
        <f t="shared" si="189"/>
        <v>7064.9000000000005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188"/>
        <v>49+ months</v>
      </c>
      <c r="X6080">
        <f t="shared" si="189"/>
        <v>4958.25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188"/>
        <v>37-48 months</v>
      </c>
      <c r="X6081">
        <f t="shared" si="189"/>
        <v>1352.5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188"/>
        <v>0-12 months</v>
      </c>
      <c r="X6082">
        <f t="shared" si="189"/>
        <v>29.7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190">IF(F6083&lt;=12,"0-12 months",
IF(A6083&lt;=24,"13-24 months",
IF(A6083&lt;=36,"25-36 months",
IF(F6083&lt;=48,"37-48 months","49+ months"))))</f>
        <v>0-12 months</v>
      </c>
      <c r="X6083">
        <f t="shared" ref="X6083:X6146" si="191">S6083 * F6083</f>
        <v>49.8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190"/>
        <v>49+ months</v>
      </c>
      <c r="X6084">
        <f t="shared" si="191"/>
        <v>5964.9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190"/>
        <v>49+ months</v>
      </c>
      <c r="X6085">
        <f t="shared" si="191"/>
        <v>1561.6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190"/>
        <v>37-48 months</v>
      </c>
      <c r="X6086">
        <f t="shared" si="191"/>
        <v>3420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190"/>
        <v>0-12 months</v>
      </c>
      <c r="X6087">
        <f t="shared" si="191"/>
        <v>151.94999999999999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190"/>
        <v>49+ months</v>
      </c>
      <c r="X6088">
        <f t="shared" si="191"/>
        <v>4263.9000000000005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190"/>
        <v>37-48 months</v>
      </c>
      <c r="X6089">
        <f t="shared" si="191"/>
        <v>1038.7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190"/>
        <v>0-12 months</v>
      </c>
      <c r="X6090">
        <f t="shared" si="191"/>
        <v>55.4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190"/>
        <v>0-12 months</v>
      </c>
      <c r="X6091">
        <f t="shared" si="191"/>
        <v>90.6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190"/>
        <v>49+ months</v>
      </c>
      <c r="X6092">
        <f t="shared" si="191"/>
        <v>7021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190"/>
        <v>0-12 months</v>
      </c>
      <c r="X6093">
        <f t="shared" si="191"/>
        <v>173.7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190"/>
        <v>49+ months</v>
      </c>
      <c r="X6094">
        <f t="shared" si="191"/>
        <v>6786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190"/>
        <v>49+ months</v>
      </c>
      <c r="X6095">
        <f t="shared" si="191"/>
        <v>3340.5499999999997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190"/>
        <v>49+ months</v>
      </c>
      <c r="X6096">
        <f t="shared" si="191"/>
        <v>1171.3500000000001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190"/>
        <v>0-12 months</v>
      </c>
      <c r="X6097">
        <f t="shared" si="191"/>
        <v>78.599999999999994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190"/>
        <v>0-12 months</v>
      </c>
      <c r="X6098">
        <f t="shared" si="191"/>
        <v>70.2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190"/>
        <v>49+ months</v>
      </c>
      <c r="X6099">
        <f t="shared" si="191"/>
        <v>5832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190"/>
        <v>37-48 months</v>
      </c>
      <c r="X6100">
        <f t="shared" si="191"/>
        <v>1593.9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190"/>
        <v>49+ months</v>
      </c>
      <c r="X6101">
        <f t="shared" si="191"/>
        <v>1753.7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190"/>
        <v>37-48 months</v>
      </c>
      <c r="X6102">
        <f t="shared" si="191"/>
        <v>2872.45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190"/>
        <v>49+ months</v>
      </c>
      <c r="X6103">
        <f t="shared" si="191"/>
        <v>7607.25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190"/>
        <v>49+ months</v>
      </c>
      <c r="X6104">
        <f t="shared" si="191"/>
        <v>5440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190"/>
        <v>37-48 months</v>
      </c>
      <c r="X6105">
        <f t="shared" si="191"/>
        <v>316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190"/>
        <v>0-12 months</v>
      </c>
      <c r="X6106">
        <f t="shared" si="191"/>
        <v>95.6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190"/>
        <v>49+ months</v>
      </c>
      <c r="X6107">
        <f t="shared" si="191"/>
        <v>5785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190"/>
        <v>0-12 months</v>
      </c>
      <c r="X6108">
        <f t="shared" si="191"/>
        <v>110.2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190"/>
        <v>0-12 months</v>
      </c>
      <c r="X6109">
        <f t="shared" si="191"/>
        <v>19.95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190"/>
        <v>37-48 months</v>
      </c>
      <c r="X6110">
        <f t="shared" si="191"/>
        <v>452.7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190"/>
        <v>0-12 months</v>
      </c>
      <c r="X6111">
        <f t="shared" si="191"/>
        <v>108.3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190"/>
        <v>37-48 months</v>
      </c>
      <c r="X6112">
        <f t="shared" si="191"/>
        <v>1136.2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190"/>
        <v>37-48 months</v>
      </c>
      <c r="X6113">
        <f t="shared" si="191"/>
        <v>3354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190"/>
        <v>49+ months</v>
      </c>
      <c r="X6114">
        <f t="shared" si="191"/>
        <v>6923.4000000000005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190"/>
        <v>37-48 months</v>
      </c>
      <c r="X6115">
        <f t="shared" si="191"/>
        <v>1581.3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190"/>
        <v>0-12 months</v>
      </c>
      <c r="X6116">
        <f t="shared" si="191"/>
        <v>533.20000000000005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190"/>
        <v>49+ months</v>
      </c>
      <c r="X6117">
        <f t="shared" si="191"/>
        <v>7884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190"/>
        <v>37-48 months</v>
      </c>
      <c r="X6118">
        <f t="shared" si="191"/>
        <v>3544.7999999999997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190"/>
        <v>49+ months</v>
      </c>
      <c r="X6119">
        <f t="shared" si="191"/>
        <v>1331.7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190"/>
        <v>49+ months</v>
      </c>
      <c r="X6120">
        <f t="shared" si="191"/>
        <v>8510.4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190"/>
        <v>37-48 months</v>
      </c>
      <c r="X6121">
        <f t="shared" si="191"/>
        <v>720.30000000000007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190"/>
        <v>0-12 months</v>
      </c>
      <c r="X6122">
        <f t="shared" si="191"/>
        <v>356.70000000000005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190"/>
        <v>0-12 months</v>
      </c>
      <c r="X6123">
        <f t="shared" si="191"/>
        <v>156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190"/>
        <v>37-48 months</v>
      </c>
      <c r="X6124">
        <f t="shared" si="191"/>
        <v>332.35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190"/>
        <v>49+ months</v>
      </c>
      <c r="X6125">
        <f t="shared" si="191"/>
        <v>6080.75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190"/>
        <v>49+ months</v>
      </c>
      <c r="X6126">
        <f t="shared" si="191"/>
        <v>3380.1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190"/>
        <v>37-48 months</v>
      </c>
      <c r="X6127">
        <f t="shared" si="191"/>
        <v>1329.25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190"/>
        <v>37-48 months</v>
      </c>
      <c r="X6128">
        <f t="shared" si="191"/>
        <v>1822.1000000000001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190"/>
        <v>49+ months</v>
      </c>
      <c r="X6129">
        <f t="shared" si="191"/>
        <v>6148.8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190"/>
        <v>37-48 months</v>
      </c>
      <c r="X6130">
        <f t="shared" si="191"/>
        <v>1093.3999999999999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190"/>
        <v>49+ months</v>
      </c>
      <c r="X6131">
        <f t="shared" si="191"/>
        <v>2074.7999999999997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190"/>
        <v>49+ months</v>
      </c>
      <c r="X6132">
        <f t="shared" si="191"/>
        <v>3764.2000000000003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190"/>
        <v>37-48 months</v>
      </c>
      <c r="X6133">
        <f t="shared" si="191"/>
        <v>4467.3499999999995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190"/>
        <v>49+ months</v>
      </c>
      <c r="X6134">
        <f t="shared" si="191"/>
        <v>3577.7999999999997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190"/>
        <v>0-12 months</v>
      </c>
      <c r="X6135">
        <f t="shared" si="191"/>
        <v>49.8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190"/>
        <v>0-12 months</v>
      </c>
      <c r="X6136">
        <f t="shared" si="191"/>
        <v>268.20000000000005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190"/>
        <v>49+ months</v>
      </c>
      <c r="X6137">
        <f t="shared" si="191"/>
        <v>8094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190"/>
        <v>37-48 months</v>
      </c>
      <c r="X6138">
        <f t="shared" si="191"/>
        <v>931.5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190"/>
        <v>0-12 months</v>
      </c>
      <c r="X6139">
        <f t="shared" si="191"/>
        <v>269.25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190"/>
        <v>49+ months</v>
      </c>
      <c r="X6140">
        <f t="shared" si="191"/>
        <v>5617.95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190"/>
        <v>0-12 months</v>
      </c>
      <c r="X6141">
        <f t="shared" si="191"/>
        <v>60.599999999999994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190"/>
        <v>0-12 months</v>
      </c>
      <c r="X6142">
        <f t="shared" si="191"/>
        <v>59.849999999999994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190"/>
        <v>49+ months</v>
      </c>
      <c r="X6143">
        <f t="shared" si="191"/>
        <v>5418.4000000000005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190"/>
        <v>37-48 months</v>
      </c>
      <c r="X6144">
        <f t="shared" si="191"/>
        <v>2110.5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190"/>
        <v>49+ months</v>
      </c>
      <c r="X6145">
        <f t="shared" si="191"/>
        <v>1017.5000000000001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190"/>
        <v>37-48 months</v>
      </c>
      <c r="X6146">
        <f t="shared" si="191"/>
        <v>2070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192">IF(F6147&lt;=12,"0-12 months",
IF(A6147&lt;=24,"13-24 months",
IF(A6147&lt;=36,"25-36 months",
IF(F6147&lt;=48,"37-48 months","49+ months"))))</f>
        <v>49+ months</v>
      </c>
      <c r="X6147">
        <f t="shared" ref="X6147:X6210" si="193">S6147 * F6147</f>
        <v>3631.4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192"/>
        <v>37-48 months</v>
      </c>
      <c r="X6148">
        <f t="shared" si="193"/>
        <v>2487.5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192"/>
        <v>37-48 months</v>
      </c>
      <c r="X6149">
        <f t="shared" si="193"/>
        <v>3864.8999999999996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192"/>
        <v>49+ months</v>
      </c>
      <c r="X6150">
        <f t="shared" si="193"/>
        <v>4616.1000000000004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192"/>
        <v>0-12 months</v>
      </c>
      <c r="X6151">
        <f t="shared" si="193"/>
        <v>25.85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192"/>
        <v>37-48 months</v>
      </c>
      <c r="X6152">
        <f t="shared" si="193"/>
        <v>2913.6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192"/>
        <v>0-12 months</v>
      </c>
      <c r="X6153">
        <f t="shared" si="193"/>
        <v>639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192"/>
        <v>37-48 months</v>
      </c>
      <c r="X6154">
        <f t="shared" si="193"/>
        <v>1491.2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192"/>
        <v>49+ months</v>
      </c>
      <c r="X6155">
        <f t="shared" si="193"/>
        <v>1257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192"/>
        <v>49+ months</v>
      </c>
      <c r="X6156">
        <f t="shared" si="193"/>
        <v>7862.4000000000005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192"/>
        <v>0-12 months</v>
      </c>
      <c r="X6157">
        <f t="shared" si="193"/>
        <v>96.75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192"/>
        <v>37-48 months</v>
      </c>
      <c r="X6158">
        <f t="shared" si="193"/>
        <v>2230.7999999999997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192"/>
        <v>0-12 months</v>
      </c>
      <c r="X6159">
        <f t="shared" si="193"/>
        <v>59.550000000000004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192"/>
        <v>0-12 months</v>
      </c>
      <c r="X6160">
        <f t="shared" si="193"/>
        <v>39.299999999999997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192"/>
        <v>0-12 months</v>
      </c>
      <c r="X6161">
        <f t="shared" si="193"/>
        <v>41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192"/>
        <v>37-48 months</v>
      </c>
      <c r="X6162">
        <f t="shared" si="193"/>
        <v>3227.4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192"/>
        <v>0-12 months</v>
      </c>
      <c r="X6163">
        <f t="shared" si="193"/>
        <v>520.44999999999993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192"/>
        <v>49+ months</v>
      </c>
      <c r="X6164">
        <f t="shared" si="193"/>
        <v>2967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192"/>
        <v>37-48 months</v>
      </c>
      <c r="X6165">
        <f t="shared" si="193"/>
        <v>1692.8999999999999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192"/>
        <v>37-48 months</v>
      </c>
      <c r="X6166">
        <f t="shared" si="193"/>
        <v>3381.7500000000005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192"/>
        <v>0-12 months</v>
      </c>
      <c r="X6167">
        <f t="shared" si="193"/>
        <v>282.60000000000002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192"/>
        <v>37-48 months</v>
      </c>
      <c r="X6168">
        <f t="shared" si="193"/>
        <v>3230.2000000000003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192"/>
        <v>37-48 months</v>
      </c>
      <c r="X6169">
        <f t="shared" si="193"/>
        <v>4232.3499999999995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192"/>
        <v>0-12 months</v>
      </c>
      <c r="X6170">
        <f t="shared" si="193"/>
        <v>79.25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192"/>
        <v>0-12 months</v>
      </c>
      <c r="X6171">
        <f t="shared" si="193"/>
        <v>44.9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192"/>
        <v>0-12 months</v>
      </c>
      <c r="X6172">
        <f t="shared" si="193"/>
        <v>19.399999999999999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192"/>
        <v>49+ months</v>
      </c>
      <c r="X6173">
        <f t="shared" si="193"/>
        <v>5236.25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192"/>
        <v>0-12 months</v>
      </c>
      <c r="X6174">
        <f t="shared" si="193"/>
        <v>701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192"/>
        <v>37-48 months</v>
      </c>
      <c r="X6175">
        <f t="shared" si="193"/>
        <v>3185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192"/>
        <v>0-12 months</v>
      </c>
      <c r="X6176">
        <f t="shared" si="193"/>
        <v>118.6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192"/>
        <v>37-48 months</v>
      </c>
      <c r="X6177">
        <f t="shared" si="193"/>
        <v>2905.6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192"/>
        <v>37-48 months</v>
      </c>
      <c r="X6178">
        <f t="shared" si="193"/>
        <v>3347.5499999999997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192"/>
        <v>0-12 months</v>
      </c>
      <c r="X6179">
        <f t="shared" si="193"/>
        <v>217.2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192"/>
        <v>49+ months</v>
      </c>
      <c r="X6180">
        <f t="shared" si="193"/>
        <v>1023.3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192"/>
        <v>0-12 months</v>
      </c>
      <c r="X6181">
        <f t="shared" si="193"/>
        <v>1046.6500000000001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192"/>
        <v>49+ months</v>
      </c>
      <c r="X6182">
        <f t="shared" si="193"/>
        <v>6758.4000000000005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192"/>
        <v>49+ months</v>
      </c>
      <c r="X6183">
        <f t="shared" si="193"/>
        <v>6093.9000000000005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192"/>
        <v>49+ months</v>
      </c>
      <c r="X6184">
        <f t="shared" si="193"/>
        <v>6386.4000000000005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192"/>
        <v>37-48 months</v>
      </c>
      <c r="X6185">
        <f t="shared" si="193"/>
        <v>2389.1999999999998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192"/>
        <v>37-48 months</v>
      </c>
      <c r="X6186">
        <f t="shared" si="193"/>
        <v>2283.7000000000003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192"/>
        <v>49+ months</v>
      </c>
      <c r="X6187">
        <f t="shared" si="193"/>
        <v>5197.5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192"/>
        <v>37-48 months</v>
      </c>
      <c r="X6188">
        <f t="shared" si="193"/>
        <v>5209.95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192"/>
        <v>0-12 months</v>
      </c>
      <c r="X6189">
        <f t="shared" si="193"/>
        <v>161.19999999999999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192"/>
        <v>37-48 months</v>
      </c>
      <c r="X6190">
        <f t="shared" si="193"/>
        <v>360.90000000000003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192"/>
        <v>49+ months</v>
      </c>
      <c r="X6191">
        <f t="shared" si="193"/>
        <v>6620.4000000000005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192"/>
        <v>0-12 months</v>
      </c>
      <c r="X6192">
        <f t="shared" si="193"/>
        <v>80.5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192"/>
        <v>37-48 months</v>
      </c>
      <c r="X6193">
        <f t="shared" si="193"/>
        <v>2337.2999999999997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192"/>
        <v>37-48 months</v>
      </c>
      <c r="X6194">
        <f t="shared" si="193"/>
        <v>1344.6000000000001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192"/>
        <v>37-48 months</v>
      </c>
      <c r="X6195">
        <f t="shared" si="193"/>
        <v>1353.95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192"/>
        <v>49+ months</v>
      </c>
      <c r="X6196">
        <f t="shared" si="193"/>
        <v>5688.2000000000007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192"/>
        <v>0-12 months</v>
      </c>
      <c r="X6197">
        <f t="shared" si="193"/>
        <v>288.8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192"/>
        <v>49+ months</v>
      </c>
      <c r="X6198">
        <f t="shared" si="193"/>
        <v>7593.45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192"/>
        <v>37-48 months</v>
      </c>
      <c r="X6199">
        <f t="shared" si="193"/>
        <v>875.5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192"/>
        <v>37-48 months</v>
      </c>
      <c r="X6200">
        <f t="shared" si="193"/>
        <v>637.5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192"/>
        <v>37-48 months</v>
      </c>
      <c r="X6201">
        <f t="shared" si="193"/>
        <v>3850.65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192"/>
        <v>49+ months</v>
      </c>
      <c r="X6202">
        <f t="shared" si="193"/>
        <v>1150.5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192"/>
        <v>0-12 months</v>
      </c>
      <c r="X6203">
        <f t="shared" si="193"/>
        <v>403.5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192"/>
        <v>37-48 months</v>
      </c>
      <c r="X6204">
        <f t="shared" si="193"/>
        <v>1627.5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192"/>
        <v>49+ months</v>
      </c>
      <c r="X6205">
        <f t="shared" si="193"/>
        <v>7251.9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192"/>
        <v>37-48 months</v>
      </c>
      <c r="X6206">
        <f t="shared" si="193"/>
        <v>326.95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192"/>
        <v>37-48 months</v>
      </c>
      <c r="X6207">
        <f t="shared" si="193"/>
        <v>4000.5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192"/>
        <v>49+ months</v>
      </c>
      <c r="X6208">
        <f t="shared" si="193"/>
        <v>4973.8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192"/>
        <v>37-48 months</v>
      </c>
      <c r="X6209">
        <f t="shared" si="193"/>
        <v>3910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192"/>
        <v>49+ months</v>
      </c>
      <c r="X6210">
        <f t="shared" si="193"/>
        <v>4928.8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194">IF(F6211&lt;=12,"0-12 months",
IF(A6211&lt;=24,"13-24 months",
IF(A6211&lt;=36,"25-36 months",
IF(F6211&lt;=48,"37-48 months","49+ months"))))</f>
        <v>37-48 months</v>
      </c>
      <c r="X6211">
        <f t="shared" ref="X6211:X6274" si="195">S6211 * F6211</f>
        <v>720.65000000000009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194"/>
        <v>37-48 months</v>
      </c>
      <c r="X6212">
        <f t="shared" si="195"/>
        <v>1368.75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194"/>
        <v>0-12 months</v>
      </c>
      <c r="X6213">
        <f t="shared" si="195"/>
        <v>428.75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194"/>
        <v>37-48 months</v>
      </c>
      <c r="X6214">
        <f t="shared" si="195"/>
        <v>761.25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194"/>
        <v>37-48 months</v>
      </c>
      <c r="X6215">
        <f t="shared" si="195"/>
        <v>382.84999999999997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194"/>
        <v>37-48 months</v>
      </c>
      <c r="X6216">
        <f t="shared" si="195"/>
        <v>882.2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194"/>
        <v>0-12 months</v>
      </c>
      <c r="X6217">
        <f t="shared" si="195"/>
        <v>589.5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194"/>
        <v>49+ months</v>
      </c>
      <c r="X6218">
        <f t="shared" si="195"/>
        <v>4152.7999999999993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194"/>
        <v>49+ months</v>
      </c>
      <c r="X6219">
        <f t="shared" si="195"/>
        <v>5049.9000000000005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194"/>
        <v>49+ months</v>
      </c>
      <c r="X6220">
        <f t="shared" si="195"/>
        <v>4088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194"/>
        <v>0-12 months</v>
      </c>
      <c r="X6221">
        <f t="shared" si="195"/>
        <v>25.7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194"/>
        <v>0-12 months</v>
      </c>
      <c r="X6222">
        <f t="shared" si="195"/>
        <v>537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194"/>
        <v>37-48 months</v>
      </c>
      <c r="X6223">
        <f t="shared" si="195"/>
        <v>509.6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194"/>
        <v>49+ months</v>
      </c>
      <c r="X6224">
        <f t="shared" si="195"/>
        <v>5900.4000000000005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194"/>
        <v>0-12 months</v>
      </c>
      <c r="X6225">
        <f t="shared" si="195"/>
        <v>483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194"/>
        <v>49+ months</v>
      </c>
      <c r="X6226">
        <f t="shared" si="195"/>
        <v>4294.2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194"/>
        <v>49+ months</v>
      </c>
      <c r="X6227">
        <f t="shared" si="195"/>
        <v>7639.2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194"/>
        <v>49+ months</v>
      </c>
      <c r="X6228">
        <f t="shared" si="195"/>
        <v>1673.75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194"/>
        <v>0-12 months</v>
      </c>
      <c r="X6229">
        <f t="shared" si="195"/>
        <v>92.1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194"/>
        <v>49+ months</v>
      </c>
      <c r="X6230">
        <f t="shared" si="195"/>
        <v>4546.5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194"/>
        <v>49+ months</v>
      </c>
      <c r="X6231">
        <f t="shared" si="195"/>
        <v>6152.4000000000005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194"/>
        <v>0-12 months</v>
      </c>
      <c r="X6232">
        <f t="shared" si="195"/>
        <v>20.05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194"/>
        <v>0-12 months</v>
      </c>
      <c r="X6233">
        <f t="shared" si="195"/>
        <v>76.400000000000006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194"/>
        <v>0-12 months</v>
      </c>
      <c r="X6234">
        <f t="shared" si="195"/>
        <v>502.5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194"/>
        <v>0-12 months</v>
      </c>
      <c r="X6235">
        <f t="shared" si="195"/>
        <v>62.099999999999994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194"/>
        <v>49+ months</v>
      </c>
      <c r="X6236">
        <f t="shared" si="195"/>
        <v>1467.4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194"/>
        <v>37-48 months</v>
      </c>
      <c r="X6237">
        <f t="shared" si="195"/>
        <v>881.09999999999991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194"/>
        <v>37-48 months</v>
      </c>
      <c r="X6238">
        <f t="shared" si="195"/>
        <v>3319.7999999999997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194"/>
        <v>0-12 months</v>
      </c>
      <c r="X6239">
        <f t="shared" si="195"/>
        <v>69.95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194"/>
        <v>49+ months</v>
      </c>
      <c r="X6240">
        <f t="shared" si="195"/>
        <v>3996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194"/>
        <v>49+ months</v>
      </c>
      <c r="X6241">
        <f t="shared" si="195"/>
        <v>7156.8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194"/>
        <v>0-12 months</v>
      </c>
      <c r="X6242">
        <f t="shared" si="195"/>
        <v>93.3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194"/>
        <v>0-12 months</v>
      </c>
      <c r="X6243">
        <f t="shared" si="195"/>
        <v>147.44999999999999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194"/>
        <v>49+ months</v>
      </c>
      <c r="X6244">
        <f t="shared" si="195"/>
        <v>7736.4000000000005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194"/>
        <v>49+ months</v>
      </c>
      <c r="X6245">
        <f t="shared" si="195"/>
        <v>6019.2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194"/>
        <v>49+ months</v>
      </c>
      <c r="X6246">
        <f t="shared" si="195"/>
        <v>5348.7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194"/>
        <v>49+ months</v>
      </c>
      <c r="X6247">
        <f t="shared" si="195"/>
        <v>4725.8999999999996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194"/>
        <v>49+ months</v>
      </c>
      <c r="X6248">
        <f t="shared" si="195"/>
        <v>3526.2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194"/>
        <v>49+ months</v>
      </c>
      <c r="X6249">
        <f t="shared" si="195"/>
        <v>5373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194"/>
        <v>49+ months</v>
      </c>
      <c r="X6250">
        <f t="shared" si="195"/>
        <v>3648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194"/>
        <v>0-12 months</v>
      </c>
      <c r="X6251">
        <f t="shared" si="195"/>
        <v>223.5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194"/>
        <v>49+ months</v>
      </c>
      <c r="X6252">
        <f t="shared" si="195"/>
        <v>6841.35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194"/>
        <v>0-12 months</v>
      </c>
      <c r="X6253">
        <f t="shared" si="195"/>
        <v>19.25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194"/>
        <v>49+ months</v>
      </c>
      <c r="X6254">
        <f t="shared" si="195"/>
        <v>1972.5000000000002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194"/>
        <v>49+ months</v>
      </c>
      <c r="X6255">
        <f t="shared" si="195"/>
        <v>2511.6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194"/>
        <v>49+ months</v>
      </c>
      <c r="X6256">
        <f t="shared" si="195"/>
        <v>5832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194"/>
        <v>49+ months</v>
      </c>
      <c r="X6257">
        <f t="shared" si="195"/>
        <v>7627.95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194"/>
        <v>0-12 months</v>
      </c>
      <c r="X6258">
        <f t="shared" si="195"/>
        <v>35.049999999999997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194"/>
        <v>0-12 months</v>
      </c>
      <c r="X6259">
        <f t="shared" si="195"/>
        <v>73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194"/>
        <v>0-12 months</v>
      </c>
      <c r="X6260">
        <f t="shared" si="195"/>
        <v>59.699999999999996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194"/>
        <v>49+ months</v>
      </c>
      <c r="X6261">
        <f t="shared" si="195"/>
        <v>4617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194"/>
        <v>37-48 months</v>
      </c>
      <c r="X6262">
        <f t="shared" si="195"/>
        <v>460.2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194"/>
        <v>49+ months</v>
      </c>
      <c r="X6263">
        <f t="shared" si="195"/>
        <v>1267.8999999999999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194"/>
        <v>37-48 months</v>
      </c>
      <c r="X6264">
        <f t="shared" si="195"/>
        <v>4353.75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194"/>
        <v>37-48 months</v>
      </c>
      <c r="X6265">
        <f t="shared" si="195"/>
        <v>1355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194"/>
        <v>37-48 months</v>
      </c>
      <c r="X6266">
        <f t="shared" si="195"/>
        <v>4404.3999999999996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194"/>
        <v>0-12 months</v>
      </c>
      <c r="X6267">
        <f t="shared" si="195"/>
        <v>90.5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194"/>
        <v>37-48 months</v>
      </c>
      <c r="X6268">
        <f t="shared" si="195"/>
        <v>2767.0499999999997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194"/>
        <v>0-12 months</v>
      </c>
      <c r="X6269">
        <f t="shared" si="195"/>
        <v>70.099999999999994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194"/>
        <v>37-48 months</v>
      </c>
      <c r="X6270">
        <f t="shared" si="195"/>
        <v>458.70000000000005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194"/>
        <v>37-48 months</v>
      </c>
      <c r="X6271">
        <f t="shared" si="195"/>
        <v>1170.75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194"/>
        <v>37-48 months</v>
      </c>
      <c r="X6272">
        <f t="shared" si="195"/>
        <v>585.79999999999995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194"/>
        <v>37-48 months</v>
      </c>
      <c r="X6273">
        <f t="shared" si="195"/>
        <v>2319.3000000000002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194"/>
        <v>49+ months</v>
      </c>
      <c r="X6274">
        <f t="shared" si="195"/>
        <v>3294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196">IF(F6275&lt;=12,"0-12 months",
IF(A6275&lt;=24,"13-24 months",
IF(A6275&lt;=36,"25-36 months",
IF(F6275&lt;=48,"37-48 months","49+ months"))))</f>
        <v>0-12 months</v>
      </c>
      <c r="X6275">
        <f t="shared" ref="X6275:X6338" si="197">S6275 * F6275</f>
        <v>141.30000000000001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196"/>
        <v>49+ months</v>
      </c>
      <c r="X6276">
        <f t="shared" si="197"/>
        <v>4953.3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196"/>
        <v>49+ months</v>
      </c>
      <c r="X6277">
        <f t="shared" si="197"/>
        <v>4302.8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196"/>
        <v>37-48 months</v>
      </c>
      <c r="X6278">
        <f t="shared" si="197"/>
        <v>305.25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196"/>
        <v>0-12 months</v>
      </c>
      <c r="X6279">
        <f t="shared" si="197"/>
        <v>40.700000000000003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196"/>
        <v>49+ months</v>
      </c>
      <c r="X6280">
        <f t="shared" si="197"/>
        <v>7301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196"/>
        <v>37-48 months</v>
      </c>
      <c r="X6281">
        <f t="shared" si="197"/>
        <v>943.95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196"/>
        <v>37-48 months</v>
      </c>
      <c r="X6282">
        <f t="shared" si="197"/>
        <v>1137.3500000000001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196"/>
        <v>0-12 months</v>
      </c>
      <c r="X6283">
        <f t="shared" si="197"/>
        <v>123.60000000000001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196"/>
        <v>0-12 months</v>
      </c>
      <c r="X6284">
        <f t="shared" si="197"/>
        <v>78.2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196"/>
        <v>0-12 months</v>
      </c>
      <c r="X6285">
        <f t="shared" si="197"/>
        <v>297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196"/>
        <v>37-48 months</v>
      </c>
      <c r="X6286">
        <f t="shared" si="197"/>
        <v>2150.5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196"/>
        <v>37-48 months</v>
      </c>
      <c r="X6287">
        <f t="shared" si="197"/>
        <v>1418.3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196"/>
        <v>0-12 months</v>
      </c>
      <c r="X6288">
        <f t="shared" si="197"/>
        <v>160.4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196"/>
        <v>37-48 months</v>
      </c>
      <c r="X6289">
        <f t="shared" si="197"/>
        <v>2182.7000000000003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196"/>
        <v>0-12 months</v>
      </c>
      <c r="X6290">
        <f t="shared" si="197"/>
        <v>158.9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196"/>
        <v>49+ months</v>
      </c>
      <c r="X6291">
        <f t="shared" si="197"/>
        <v>7785.4000000000005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196"/>
        <v>49+ months</v>
      </c>
      <c r="X6292">
        <f t="shared" si="197"/>
        <v>6652.7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196"/>
        <v>49+ months</v>
      </c>
      <c r="X6293">
        <f t="shared" si="197"/>
        <v>4711.1499999999996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196"/>
        <v>37-48 months</v>
      </c>
      <c r="X6294">
        <f t="shared" si="197"/>
        <v>3900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196"/>
        <v>37-48 months</v>
      </c>
      <c r="X6295">
        <f t="shared" si="197"/>
        <v>411.6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196"/>
        <v>0-12 months</v>
      </c>
      <c r="X6296">
        <f t="shared" si="197"/>
        <v>19.7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196"/>
        <v>37-48 months</v>
      </c>
      <c r="X6297">
        <f t="shared" si="197"/>
        <v>969.59999999999991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196"/>
        <v>37-48 months</v>
      </c>
      <c r="X6298">
        <f t="shared" si="197"/>
        <v>1562.3999999999999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196"/>
        <v>49+ months</v>
      </c>
      <c r="X6299">
        <f t="shared" si="197"/>
        <v>7254.4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196"/>
        <v>37-48 months</v>
      </c>
      <c r="X6300">
        <f t="shared" si="197"/>
        <v>3680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196"/>
        <v>49+ months</v>
      </c>
      <c r="X6301">
        <f t="shared" si="197"/>
        <v>4209.4000000000005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196"/>
        <v>49+ months</v>
      </c>
      <c r="X6302">
        <f t="shared" si="197"/>
        <v>1668.3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196"/>
        <v>49+ months</v>
      </c>
      <c r="X6303">
        <f t="shared" si="197"/>
        <v>3678.2999999999997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196"/>
        <v>0-12 months</v>
      </c>
      <c r="X6304">
        <f t="shared" si="197"/>
        <v>377.75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196"/>
        <v>49+ months</v>
      </c>
      <c r="X6305">
        <f t="shared" si="197"/>
        <v>7756.75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196"/>
        <v>0-12 months</v>
      </c>
      <c r="X6306">
        <f t="shared" si="197"/>
        <v>698.85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196"/>
        <v>37-48 months</v>
      </c>
      <c r="X6307">
        <f t="shared" si="197"/>
        <v>2470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196"/>
        <v>49+ months</v>
      </c>
      <c r="X6308">
        <f t="shared" si="197"/>
        <v>8257.2999999999993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196"/>
        <v>37-48 months</v>
      </c>
      <c r="X6309">
        <f t="shared" si="197"/>
        <v>636.79999999999995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196"/>
        <v>0-12 months</v>
      </c>
      <c r="X6310">
        <f t="shared" si="197"/>
        <v>140.69999999999999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196"/>
        <v>49+ months</v>
      </c>
      <c r="X6311">
        <f t="shared" si="197"/>
        <v>1817.6000000000001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196"/>
        <v>49+ months</v>
      </c>
      <c r="X6312">
        <f t="shared" si="197"/>
        <v>2667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196"/>
        <v>49+ months</v>
      </c>
      <c r="X6313">
        <f t="shared" si="197"/>
        <v>5508.25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196"/>
        <v>49+ months</v>
      </c>
      <c r="X6314">
        <f t="shared" si="197"/>
        <v>5691.6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196"/>
        <v>0-12 months</v>
      </c>
      <c r="X6315">
        <f t="shared" si="197"/>
        <v>191.7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196"/>
        <v>0-12 months</v>
      </c>
      <c r="X6316">
        <f t="shared" si="197"/>
        <v>443.09999999999997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196"/>
        <v>37-48 months</v>
      </c>
      <c r="X6317">
        <f t="shared" si="197"/>
        <v>3364.7999999999997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196"/>
        <v>49+ months</v>
      </c>
      <c r="X6318">
        <f t="shared" si="197"/>
        <v>1590.75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196"/>
        <v>0-12 months</v>
      </c>
      <c r="X6319">
        <f t="shared" si="197"/>
        <v>79.150000000000006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196"/>
        <v>0-12 months</v>
      </c>
      <c r="X6320">
        <f t="shared" si="197"/>
        <v>252.60000000000002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196"/>
        <v>49+ months</v>
      </c>
      <c r="X6321">
        <f t="shared" si="197"/>
        <v>1347.3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196"/>
        <v>37-48 months</v>
      </c>
      <c r="X6322">
        <f t="shared" si="197"/>
        <v>1935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196"/>
        <v>37-48 months</v>
      </c>
      <c r="X6323">
        <f t="shared" si="197"/>
        <v>589.5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196"/>
        <v>0-12 months</v>
      </c>
      <c r="X6324">
        <f t="shared" si="197"/>
        <v>316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196"/>
        <v>37-48 months</v>
      </c>
      <c r="X6325">
        <f t="shared" si="197"/>
        <v>4238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196"/>
        <v>0-12 months</v>
      </c>
      <c r="X6326">
        <f t="shared" si="197"/>
        <v>682.65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196"/>
        <v>37-48 months</v>
      </c>
      <c r="X6327">
        <f t="shared" si="197"/>
        <v>1561.4499999999998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196"/>
        <v>49+ months</v>
      </c>
      <c r="X6328">
        <f t="shared" si="197"/>
        <v>2703.2000000000003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196"/>
        <v>37-48 months</v>
      </c>
      <c r="X6329">
        <f t="shared" si="197"/>
        <v>2555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196"/>
        <v>49+ months</v>
      </c>
      <c r="X6330">
        <f t="shared" si="197"/>
        <v>6282.5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196"/>
        <v>37-48 months</v>
      </c>
      <c r="X6331">
        <f t="shared" si="197"/>
        <v>4802.4000000000005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196"/>
        <v>37-48 months</v>
      </c>
      <c r="X6332">
        <f t="shared" si="197"/>
        <v>2073.4500000000003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196"/>
        <v>37-48 months</v>
      </c>
      <c r="X6333">
        <f t="shared" si="197"/>
        <v>1894.1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196"/>
        <v>49+ months</v>
      </c>
      <c r="X6334">
        <f t="shared" si="197"/>
        <v>7157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196"/>
        <v>49+ months</v>
      </c>
      <c r="X6335">
        <f t="shared" si="197"/>
        <v>6360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196"/>
        <v>49+ months</v>
      </c>
      <c r="X6336">
        <f t="shared" si="197"/>
        <v>6968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196"/>
        <v>37-48 months</v>
      </c>
      <c r="X6337">
        <f t="shared" si="197"/>
        <v>975.10000000000014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196"/>
        <v>49+ months</v>
      </c>
      <c r="X6338">
        <f t="shared" si="197"/>
        <v>4235.0999999999995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198">IF(F6339&lt;=12,"0-12 months",
IF(A6339&lt;=24,"13-24 months",
IF(A6339&lt;=36,"25-36 months",
IF(F6339&lt;=48,"37-48 months","49+ months"))))</f>
        <v>49+ months</v>
      </c>
      <c r="X6339">
        <f t="shared" ref="X6339:X6402" si="199">S6339 * F6339</f>
        <v>5549.5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198"/>
        <v>0-12 months</v>
      </c>
      <c r="X6340">
        <f t="shared" si="199"/>
        <v>20.25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198"/>
        <v>0-12 months</v>
      </c>
      <c r="X6341">
        <f t="shared" si="199"/>
        <v>49.9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198"/>
        <v>37-48 months</v>
      </c>
      <c r="X6342">
        <f t="shared" si="199"/>
        <v>2228.7000000000003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198"/>
        <v>37-48 months</v>
      </c>
      <c r="X6343">
        <f t="shared" si="199"/>
        <v>1304.55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198"/>
        <v>37-48 months</v>
      </c>
      <c r="X6344">
        <f t="shared" si="199"/>
        <v>4892.7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198"/>
        <v>37-48 months</v>
      </c>
      <c r="X6345">
        <f t="shared" si="199"/>
        <v>763.80000000000007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198"/>
        <v>37-48 months</v>
      </c>
      <c r="X6346">
        <f t="shared" si="199"/>
        <v>2848.1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198"/>
        <v>0-12 months</v>
      </c>
      <c r="X6347">
        <f t="shared" si="199"/>
        <v>113.1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198"/>
        <v>0-12 months</v>
      </c>
      <c r="X6348">
        <f t="shared" si="199"/>
        <v>49.25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198"/>
        <v>37-48 months</v>
      </c>
      <c r="X6349">
        <f t="shared" si="199"/>
        <v>1029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198"/>
        <v>37-48 months</v>
      </c>
      <c r="X6350">
        <f t="shared" si="199"/>
        <v>1795.3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198"/>
        <v>37-48 months</v>
      </c>
      <c r="X6351">
        <f t="shared" si="199"/>
        <v>689.5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198"/>
        <v>0-12 months</v>
      </c>
      <c r="X6352">
        <f t="shared" si="199"/>
        <v>60.150000000000006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198"/>
        <v>49+ months</v>
      </c>
      <c r="X6353">
        <f t="shared" si="199"/>
        <v>5185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198"/>
        <v>37-48 months</v>
      </c>
      <c r="X6354">
        <f t="shared" si="199"/>
        <v>3964.8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198"/>
        <v>0-12 months</v>
      </c>
      <c r="X6355">
        <f t="shared" si="199"/>
        <v>549.5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198"/>
        <v>49+ months</v>
      </c>
      <c r="X6356">
        <f t="shared" si="199"/>
        <v>5715.7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198"/>
        <v>49+ months</v>
      </c>
      <c r="X6357">
        <f t="shared" si="199"/>
        <v>7497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198"/>
        <v>0-12 months</v>
      </c>
      <c r="X6358">
        <f t="shared" si="199"/>
        <v>989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198"/>
        <v>49+ months</v>
      </c>
      <c r="X6359">
        <f t="shared" si="199"/>
        <v>5833.75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198"/>
        <v>49+ months</v>
      </c>
      <c r="X6360">
        <f t="shared" si="199"/>
        <v>5792.4000000000005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198"/>
        <v>49+ months</v>
      </c>
      <c r="X6361">
        <f t="shared" si="199"/>
        <v>4367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198"/>
        <v>0-12 months</v>
      </c>
      <c r="X6362">
        <f t="shared" si="199"/>
        <v>20.3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198"/>
        <v>0-12 months</v>
      </c>
      <c r="X6363">
        <f t="shared" si="199"/>
        <v>439.59999999999997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198"/>
        <v>0-12 months</v>
      </c>
      <c r="X6364">
        <f t="shared" si="199"/>
        <v>149.80000000000001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198"/>
        <v>0-12 months</v>
      </c>
      <c r="X6365">
        <f t="shared" si="199"/>
        <v>673.65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198"/>
        <v>37-48 months</v>
      </c>
      <c r="X6366">
        <f t="shared" si="199"/>
        <v>697.95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198"/>
        <v>0-12 months</v>
      </c>
      <c r="X6367">
        <f t="shared" si="199"/>
        <v>713.65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198"/>
        <v>49+ months</v>
      </c>
      <c r="X6368">
        <f t="shared" si="199"/>
        <v>4371.2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198"/>
        <v>49+ months</v>
      </c>
      <c r="X6369">
        <f t="shared" si="199"/>
        <v>3388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198"/>
        <v>0-12 months</v>
      </c>
      <c r="X6370">
        <f t="shared" si="199"/>
        <v>188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198"/>
        <v>49+ months</v>
      </c>
      <c r="X6371">
        <f t="shared" si="199"/>
        <v>7038.3499999999995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198"/>
        <v>37-48 months</v>
      </c>
      <c r="X6372">
        <f t="shared" si="199"/>
        <v>4018.5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198"/>
        <v>37-48 months</v>
      </c>
      <c r="X6373">
        <f t="shared" si="199"/>
        <v>603.59999999999991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198"/>
        <v>0-12 months</v>
      </c>
      <c r="X6374">
        <f t="shared" si="199"/>
        <v>78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198"/>
        <v>37-48 months</v>
      </c>
      <c r="X6375">
        <f t="shared" si="199"/>
        <v>4089.8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198"/>
        <v>49+ months</v>
      </c>
      <c r="X6376">
        <f t="shared" si="199"/>
        <v>1490.3999999999999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198"/>
        <v>0-12 months</v>
      </c>
      <c r="X6377">
        <f t="shared" si="199"/>
        <v>74.3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198"/>
        <v>49+ months</v>
      </c>
      <c r="X6378">
        <f t="shared" si="199"/>
        <v>1277.1000000000001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198"/>
        <v>0-12 months</v>
      </c>
      <c r="X6379">
        <f t="shared" si="199"/>
        <v>44.65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198"/>
        <v>37-48 months</v>
      </c>
      <c r="X6380">
        <f t="shared" si="199"/>
        <v>1092.6499999999999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198"/>
        <v>0-12 months</v>
      </c>
      <c r="X6381">
        <f t="shared" si="199"/>
        <v>807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198"/>
        <v>49+ months</v>
      </c>
      <c r="X6382">
        <f t="shared" si="199"/>
        <v>6782.75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198"/>
        <v>0-12 months</v>
      </c>
      <c r="X6383">
        <f t="shared" si="199"/>
        <v>19.55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198"/>
        <v>37-48 months</v>
      </c>
      <c r="X6384">
        <f t="shared" si="199"/>
        <v>2813.9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198"/>
        <v>37-48 months</v>
      </c>
      <c r="X6385">
        <f t="shared" si="199"/>
        <v>922.30000000000007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198"/>
        <v>0-12 months</v>
      </c>
      <c r="X6386">
        <f t="shared" si="199"/>
        <v>201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198"/>
        <v>0-12 months</v>
      </c>
      <c r="X6387">
        <f t="shared" si="199"/>
        <v>406.8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198"/>
        <v>49+ months</v>
      </c>
      <c r="X6388">
        <f t="shared" si="199"/>
        <v>6015.5999999999995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198"/>
        <v>37-48 months</v>
      </c>
      <c r="X6389">
        <f t="shared" si="199"/>
        <v>1989.75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198"/>
        <v>0-12 months</v>
      </c>
      <c r="X6390">
        <f t="shared" si="199"/>
        <v>20.399999999999999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198"/>
        <v>49+ months</v>
      </c>
      <c r="X6391">
        <f t="shared" si="199"/>
        <v>1133.9000000000001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198"/>
        <v>49+ months</v>
      </c>
      <c r="X6392">
        <f t="shared" si="199"/>
        <v>7430.5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198"/>
        <v>37-48 months</v>
      </c>
      <c r="X6393">
        <f t="shared" si="199"/>
        <v>3000.1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198"/>
        <v>49+ months</v>
      </c>
      <c r="X6394">
        <f t="shared" si="199"/>
        <v>2985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198"/>
        <v>37-48 months</v>
      </c>
      <c r="X6395">
        <f t="shared" si="199"/>
        <v>2402.4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198"/>
        <v>0-12 months</v>
      </c>
      <c r="X6396">
        <f t="shared" si="199"/>
        <v>465.6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198"/>
        <v>37-48 months</v>
      </c>
      <c r="X6397">
        <f t="shared" si="199"/>
        <v>4206.5999999999995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198"/>
        <v>37-48 months</v>
      </c>
      <c r="X6398">
        <f t="shared" si="199"/>
        <v>3310.2000000000003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198"/>
        <v>49+ months</v>
      </c>
      <c r="X6399">
        <f t="shared" si="199"/>
        <v>3523.5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198"/>
        <v>49+ months</v>
      </c>
      <c r="X6400">
        <f t="shared" si="199"/>
        <v>7526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198"/>
        <v>49+ months</v>
      </c>
      <c r="X6401">
        <f t="shared" si="199"/>
        <v>4020.4999999999995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198"/>
        <v>49+ months</v>
      </c>
      <c r="X6402">
        <f t="shared" si="199"/>
        <v>4302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200">IF(F6403&lt;=12,"0-12 months",
IF(A6403&lt;=24,"13-24 months",
IF(A6403&lt;=36,"25-36 months",
IF(F6403&lt;=48,"37-48 months","49+ months"))))</f>
        <v>0-12 months</v>
      </c>
      <c r="X6403">
        <f t="shared" ref="X6403:X6466" si="201">S6403 * F6403</f>
        <v>165.3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200"/>
        <v>49+ months</v>
      </c>
      <c r="X6404">
        <f t="shared" si="201"/>
        <v>3229.2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200"/>
        <v>49+ months</v>
      </c>
      <c r="X6405">
        <f t="shared" si="201"/>
        <v>8395.1999999999989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200"/>
        <v>49+ months</v>
      </c>
      <c r="X6406">
        <f t="shared" si="201"/>
        <v>5683.5999999999995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200"/>
        <v>49+ months</v>
      </c>
      <c r="X6407">
        <f t="shared" si="201"/>
        <v>6084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200"/>
        <v>37-48 months</v>
      </c>
      <c r="X6408">
        <f t="shared" si="201"/>
        <v>1975.35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200"/>
        <v>37-48 months</v>
      </c>
      <c r="X6409">
        <f t="shared" si="201"/>
        <v>842.25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200"/>
        <v>49+ months</v>
      </c>
      <c r="X6410">
        <f t="shared" si="201"/>
        <v>7348.5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200"/>
        <v>37-48 months</v>
      </c>
      <c r="X6411">
        <f t="shared" si="201"/>
        <v>825.6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200"/>
        <v>49+ months</v>
      </c>
      <c r="X6412">
        <f t="shared" si="201"/>
        <v>5229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200"/>
        <v>0-12 months</v>
      </c>
      <c r="X6413">
        <f t="shared" si="201"/>
        <v>140.19999999999999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200"/>
        <v>49+ months</v>
      </c>
      <c r="X6414">
        <f t="shared" si="201"/>
        <v>7797.5999999999995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200"/>
        <v>37-48 months</v>
      </c>
      <c r="X6415">
        <f t="shared" si="201"/>
        <v>2913.6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200"/>
        <v>37-48 months</v>
      </c>
      <c r="X6416">
        <f t="shared" si="201"/>
        <v>1010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200"/>
        <v>49+ months</v>
      </c>
      <c r="X6417">
        <f t="shared" si="201"/>
        <v>2630.3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200"/>
        <v>49+ months</v>
      </c>
      <c r="X6418">
        <f t="shared" si="201"/>
        <v>2941.2999999999997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200"/>
        <v>49+ months</v>
      </c>
      <c r="X6419">
        <f t="shared" si="201"/>
        <v>3952.5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200"/>
        <v>37-48 months</v>
      </c>
      <c r="X6420">
        <f t="shared" si="201"/>
        <v>2458.2999999999997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200"/>
        <v>49+ months</v>
      </c>
      <c r="X6421">
        <f t="shared" si="201"/>
        <v>5858.1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200"/>
        <v>37-48 months</v>
      </c>
      <c r="X6422">
        <f t="shared" si="201"/>
        <v>2536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200"/>
        <v>37-48 months</v>
      </c>
      <c r="X6423">
        <f t="shared" si="201"/>
        <v>1492.05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200"/>
        <v>49+ months</v>
      </c>
      <c r="X6424">
        <f t="shared" si="201"/>
        <v>2795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200"/>
        <v>49+ months</v>
      </c>
      <c r="X6425">
        <f t="shared" si="201"/>
        <v>1746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200"/>
        <v>49+ months</v>
      </c>
      <c r="X6426">
        <f t="shared" si="201"/>
        <v>3902.4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200"/>
        <v>49+ months</v>
      </c>
      <c r="X6427">
        <f t="shared" si="201"/>
        <v>2301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200"/>
        <v>37-48 months</v>
      </c>
      <c r="X6428">
        <f t="shared" si="201"/>
        <v>2052.0499999999997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200"/>
        <v>37-48 months</v>
      </c>
      <c r="X6429">
        <f t="shared" si="201"/>
        <v>826.15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200"/>
        <v>0-12 months</v>
      </c>
      <c r="X6430">
        <f t="shared" si="201"/>
        <v>415.5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200"/>
        <v>49+ months</v>
      </c>
      <c r="X6431">
        <f t="shared" si="201"/>
        <v>4646.45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200"/>
        <v>37-48 months</v>
      </c>
      <c r="X6432">
        <f t="shared" si="201"/>
        <v>309.60000000000002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200"/>
        <v>37-48 months</v>
      </c>
      <c r="X6433">
        <f t="shared" si="201"/>
        <v>325.54999999999995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200"/>
        <v>37-48 months</v>
      </c>
      <c r="X6434">
        <f t="shared" si="201"/>
        <v>2135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200"/>
        <v>49+ months</v>
      </c>
      <c r="X6435">
        <f t="shared" si="201"/>
        <v>1189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200"/>
        <v>0-12 months</v>
      </c>
      <c r="X6436">
        <f t="shared" si="201"/>
        <v>50.5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200"/>
        <v>49+ months</v>
      </c>
      <c r="X6437">
        <f t="shared" si="201"/>
        <v>2610.4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200"/>
        <v>49+ months</v>
      </c>
      <c r="X6438">
        <f t="shared" si="201"/>
        <v>5572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200"/>
        <v>37-48 months</v>
      </c>
      <c r="X6439">
        <f t="shared" si="201"/>
        <v>473.09999999999997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200"/>
        <v>0-12 months</v>
      </c>
      <c r="X6440">
        <f t="shared" si="201"/>
        <v>74.400000000000006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200"/>
        <v>37-48 months</v>
      </c>
      <c r="X6441">
        <f t="shared" si="201"/>
        <v>3741.5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200"/>
        <v>37-48 months</v>
      </c>
      <c r="X6442">
        <f t="shared" si="201"/>
        <v>3243.2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200"/>
        <v>37-48 months</v>
      </c>
      <c r="X6443">
        <f t="shared" si="201"/>
        <v>940.95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200"/>
        <v>49+ months</v>
      </c>
      <c r="X6444">
        <f t="shared" si="201"/>
        <v>3386.85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200"/>
        <v>0-12 months</v>
      </c>
      <c r="X6445">
        <f t="shared" si="201"/>
        <v>175.5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200"/>
        <v>37-48 months</v>
      </c>
      <c r="X6446">
        <f t="shared" si="201"/>
        <v>2462.9500000000003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200"/>
        <v>0-12 months</v>
      </c>
      <c r="X6447">
        <f t="shared" si="201"/>
        <v>362.6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200"/>
        <v>49+ months</v>
      </c>
      <c r="X6448">
        <f t="shared" si="201"/>
        <v>5211.2999999999993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200"/>
        <v>49+ months</v>
      </c>
      <c r="X6449">
        <f t="shared" si="201"/>
        <v>4740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200"/>
        <v>49+ months</v>
      </c>
      <c r="X6450">
        <f t="shared" si="201"/>
        <v>6069.7000000000007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200"/>
        <v>0-12 months</v>
      </c>
      <c r="X6451">
        <f t="shared" si="201"/>
        <v>19.55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200"/>
        <v>37-48 months</v>
      </c>
      <c r="X6452">
        <f t="shared" si="201"/>
        <v>537.29999999999995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200"/>
        <v>49+ months</v>
      </c>
      <c r="X6453">
        <f t="shared" si="201"/>
        <v>7672.5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200"/>
        <v>37-48 months</v>
      </c>
      <c r="X6454">
        <f t="shared" si="201"/>
        <v>1316.25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200"/>
        <v>37-48 months</v>
      </c>
      <c r="X6455">
        <f t="shared" si="201"/>
        <v>4702.3499999999995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200"/>
        <v>37-48 months</v>
      </c>
      <c r="X6456">
        <f t="shared" si="201"/>
        <v>3333.2999999999997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200"/>
        <v>49+ months</v>
      </c>
      <c r="X6457">
        <f t="shared" si="201"/>
        <v>2613.6999999999998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200"/>
        <v>49+ months</v>
      </c>
      <c r="X6458">
        <f t="shared" si="201"/>
        <v>3517.4999999999995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200"/>
        <v>37-48 months</v>
      </c>
      <c r="X6459">
        <f t="shared" si="201"/>
        <v>755.65000000000009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200"/>
        <v>0-12 months</v>
      </c>
      <c r="X6460">
        <f t="shared" si="201"/>
        <v>294.89999999999998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200"/>
        <v>49+ months</v>
      </c>
      <c r="X6461">
        <f t="shared" si="201"/>
        <v>1501.95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200"/>
        <v>37-48 months</v>
      </c>
      <c r="X6462">
        <f t="shared" si="201"/>
        <v>4424.2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200"/>
        <v>49+ months</v>
      </c>
      <c r="X6463">
        <f t="shared" si="201"/>
        <v>4179.7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200"/>
        <v>0-12 months</v>
      </c>
      <c r="X6464">
        <f t="shared" si="201"/>
        <v>191.3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200"/>
        <v>49+ months</v>
      </c>
      <c r="X6465">
        <f t="shared" si="201"/>
        <v>4076.8999999999996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200"/>
        <v>49+ months</v>
      </c>
      <c r="X6466">
        <f t="shared" si="201"/>
        <v>3517.4999999999995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202">IF(F6467&lt;=12,"0-12 months",
IF(A6467&lt;=24,"13-24 months",
IF(A6467&lt;=36,"25-36 months",
IF(F6467&lt;=48,"37-48 months","49+ months"))))</f>
        <v>49+ months</v>
      </c>
      <c r="X6467">
        <f t="shared" ref="X6467:X6530" si="203">S6467 * F6467</f>
        <v>1215.4000000000001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202"/>
        <v>37-48 months</v>
      </c>
      <c r="X6468">
        <f t="shared" si="203"/>
        <v>1334.7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202"/>
        <v>0-12 months</v>
      </c>
      <c r="X6469">
        <f t="shared" si="203"/>
        <v>750.5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202"/>
        <v>37-48 months</v>
      </c>
      <c r="X6470">
        <f t="shared" si="203"/>
        <v>624.4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202"/>
        <v>37-48 months</v>
      </c>
      <c r="X6471">
        <f t="shared" si="203"/>
        <v>750.75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202"/>
        <v>0-12 months</v>
      </c>
      <c r="X6472">
        <f t="shared" si="203"/>
        <v>347.6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202"/>
        <v>37-48 months</v>
      </c>
      <c r="X6473">
        <f t="shared" si="203"/>
        <v>360.90000000000003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202"/>
        <v>49+ months</v>
      </c>
      <c r="X6474">
        <f t="shared" si="203"/>
        <v>5649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202"/>
        <v>0-12 months</v>
      </c>
      <c r="X6475">
        <f t="shared" si="203"/>
        <v>94.4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202"/>
        <v>0-12 months</v>
      </c>
      <c r="X6476">
        <f t="shared" si="203"/>
        <v>117.30000000000001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202"/>
        <v>37-48 months</v>
      </c>
      <c r="X6477">
        <f t="shared" si="203"/>
        <v>1442.1000000000001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202"/>
        <v>49+ months</v>
      </c>
      <c r="X6478">
        <f t="shared" si="203"/>
        <v>3399.9500000000003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202"/>
        <v>49+ months</v>
      </c>
      <c r="X6479">
        <f t="shared" si="203"/>
        <v>7887.5999999999995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202"/>
        <v>49+ months</v>
      </c>
      <c r="X6480">
        <f t="shared" si="203"/>
        <v>6648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202"/>
        <v>0-12 months</v>
      </c>
      <c r="X6481">
        <f t="shared" si="203"/>
        <v>55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202"/>
        <v>37-48 months</v>
      </c>
      <c r="X6482">
        <f t="shared" si="203"/>
        <v>694.85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202"/>
        <v>0-12 months</v>
      </c>
      <c r="X6483">
        <f t="shared" si="203"/>
        <v>349.75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202"/>
        <v>0-12 months</v>
      </c>
      <c r="X6484">
        <f t="shared" si="203"/>
        <v>101.45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202"/>
        <v>37-48 months</v>
      </c>
      <c r="X6485">
        <f t="shared" si="203"/>
        <v>1261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202"/>
        <v>37-48 months</v>
      </c>
      <c r="X6486">
        <f t="shared" si="203"/>
        <v>3352.2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202"/>
        <v>49+ months</v>
      </c>
      <c r="X6487">
        <f t="shared" si="203"/>
        <v>4707.2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202"/>
        <v>0-12 months</v>
      </c>
      <c r="X6488">
        <f t="shared" si="203"/>
        <v>339.75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202"/>
        <v>49+ months</v>
      </c>
      <c r="X6489">
        <f t="shared" si="203"/>
        <v>5755.3499999999995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202"/>
        <v>0-12 months</v>
      </c>
      <c r="X6490">
        <f t="shared" si="203"/>
        <v>69.5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202"/>
        <v>0-12 months</v>
      </c>
      <c r="X6491">
        <f t="shared" si="203"/>
        <v>18.850000000000001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202"/>
        <v>37-48 months</v>
      </c>
      <c r="X6492">
        <f t="shared" si="203"/>
        <v>504.4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202"/>
        <v>0-12 months</v>
      </c>
      <c r="X6493">
        <f t="shared" si="203"/>
        <v>69.2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202"/>
        <v>37-48 months</v>
      </c>
      <c r="X6494">
        <f t="shared" si="203"/>
        <v>474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202"/>
        <v>37-48 months</v>
      </c>
      <c r="X6495">
        <f t="shared" si="203"/>
        <v>928.2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202"/>
        <v>37-48 months</v>
      </c>
      <c r="X6496">
        <f t="shared" si="203"/>
        <v>774.80000000000007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202"/>
        <v>0-12 months</v>
      </c>
      <c r="X6497">
        <f t="shared" si="203"/>
        <v>69.650000000000006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202"/>
        <v>37-48 months</v>
      </c>
      <c r="X6498">
        <f t="shared" si="203"/>
        <v>4074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202"/>
        <v>49+ months</v>
      </c>
      <c r="X6499">
        <f t="shared" si="203"/>
        <v>5358.5999999999995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202"/>
        <v>0-12 months</v>
      </c>
      <c r="X6500">
        <f t="shared" si="203"/>
        <v>82.3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202"/>
        <v>0-12 months</v>
      </c>
      <c r="X6501">
        <f t="shared" si="203"/>
        <v>20.3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202"/>
        <v>37-48 months</v>
      </c>
      <c r="X6502">
        <f t="shared" si="203"/>
        <v>737.1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202"/>
        <v>49+ months</v>
      </c>
      <c r="X6503">
        <f t="shared" si="203"/>
        <v>7081.9000000000005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202"/>
        <v>37-48 months</v>
      </c>
      <c r="X6504">
        <f t="shared" si="203"/>
        <v>2475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202"/>
        <v>49+ months</v>
      </c>
      <c r="X6505">
        <f t="shared" si="203"/>
        <v>4224.5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202"/>
        <v>0-12 months</v>
      </c>
      <c r="X6506">
        <f t="shared" si="203"/>
        <v>237.75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202"/>
        <v>49+ months</v>
      </c>
      <c r="X6507">
        <f t="shared" si="203"/>
        <v>3348.7999999999997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202"/>
        <v>37-48 months</v>
      </c>
      <c r="X6508">
        <f t="shared" si="203"/>
        <v>1099.8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202"/>
        <v>49+ months</v>
      </c>
      <c r="X6509">
        <f t="shared" si="203"/>
        <v>5417.2000000000007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202"/>
        <v>37-48 months</v>
      </c>
      <c r="X6510">
        <f t="shared" si="203"/>
        <v>3956.4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202"/>
        <v>0-12 months</v>
      </c>
      <c r="X6511">
        <f t="shared" si="203"/>
        <v>25.05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202"/>
        <v>37-48 months</v>
      </c>
      <c r="X6512">
        <f t="shared" si="203"/>
        <v>4583.9000000000005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202"/>
        <v>49+ months</v>
      </c>
      <c r="X6513">
        <f t="shared" si="203"/>
        <v>3190.95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202"/>
        <v>0-12 months</v>
      </c>
      <c r="X6514">
        <f t="shared" si="203"/>
        <v>669.9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202"/>
        <v>37-48 months</v>
      </c>
      <c r="X6515">
        <f t="shared" si="203"/>
        <v>894.75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202"/>
        <v>49+ months</v>
      </c>
      <c r="X6516">
        <f t="shared" si="203"/>
        <v>4658.4000000000005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202"/>
        <v>37-48 months</v>
      </c>
      <c r="X6517">
        <f t="shared" si="203"/>
        <v>727.90000000000009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202"/>
        <v>0-12 months</v>
      </c>
      <c r="X6518">
        <f t="shared" si="203"/>
        <v>48.95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202"/>
        <v>0-12 months</v>
      </c>
      <c r="X6519">
        <f t="shared" si="203"/>
        <v>329.1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202"/>
        <v>0-12 months</v>
      </c>
      <c r="X6520">
        <f t="shared" si="203"/>
        <v>45.3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202"/>
        <v>49+ months</v>
      </c>
      <c r="X6521">
        <f t="shared" si="203"/>
        <v>5755.0499999999993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202"/>
        <v>0-12 months</v>
      </c>
      <c r="X6522">
        <f t="shared" si="203"/>
        <v>171.7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202"/>
        <v>37-48 months</v>
      </c>
      <c r="X6523">
        <f t="shared" si="203"/>
        <v>451.8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202"/>
        <v>37-48 months</v>
      </c>
      <c r="X6524">
        <f t="shared" si="203"/>
        <v>1462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202"/>
        <v>37-48 months</v>
      </c>
      <c r="X6525">
        <f t="shared" si="203"/>
        <v>688.5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202"/>
        <v>0-12 months</v>
      </c>
      <c r="X6526">
        <f t="shared" si="203"/>
        <v>952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202"/>
        <v>49+ months</v>
      </c>
      <c r="X6527">
        <f t="shared" si="203"/>
        <v>1127.5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202"/>
        <v>49+ months</v>
      </c>
      <c r="X6528">
        <f t="shared" si="203"/>
        <v>4929.3999999999996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202"/>
        <v>0-12 months</v>
      </c>
      <c r="X6529">
        <f t="shared" si="203"/>
        <v>331.79999999999995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202"/>
        <v>49+ months</v>
      </c>
      <c r="X6530">
        <f t="shared" si="203"/>
        <v>1424.5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204">IF(F6531&lt;=12,"0-12 months",
IF(A6531&lt;=24,"13-24 months",
IF(A6531&lt;=36,"25-36 months",
IF(F6531&lt;=48,"37-48 months","49+ months"))))</f>
        <v>0-12 months</v>
      </c>
      <c r="X6531">
        <f t="shared" ref="X6531:X6594" si="205">S6531 * F6531</f>
        <v>149.69999999999999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204"/>
        <v>49+ months</v>
      </c>
      <c r="X6532">
        <f t="shared" si="205"/>
        <v>2274.3000000000002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204"/>
        <v>37-48 months</v>
      </c>
      <c r="X6533">
        <f t="shared" si="205"/>
        <v>1645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204"/>
        <v>37-48 months</v>
      </c>
      <c r="X6534">
        <f t="shared" si="205"/>
        <v>366.3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204"/>
        <v>37-48 months</v>
      </c>
      <c r="X6535">
        <f t="shared" si="205"/>
        <v>2962.4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204"/>
        <v>49+ months</v>
      </c>
      <c r="X6536">
        <f t="shared" si="205"/>
        <v>5127.75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204"/>
        <v>37-48 months</v>
      </c>
      <c r="X6537">
        <f t="shared" si="205"/>
        <v>3582.25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204"/>
        <v>0-12 months</v>
      </c>
      <c r="X6538">
        <f t="shared" si="205"/>
        <v>24.4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204"/>
        <v>49+ months</v>
      </c>
      <c r="X6539">
        <f t="shared" si="205"/>
        <v>8095.5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204"/>
        <v>0-12 months</v>
      </c>
      <c r="X6540">
        <f t="shared" si="205"/>
        <v>159.69999999999999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204"/>
        <v>37-48 months</v>
      </c>
      <c r="X6541">
        <f t="shared" si="205"/>
        <v>1899.3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204"/>
        <v>37-48 months</v>
      </c>
      <c r="X6542">
        <f t="shared" si="205"/>
        <v>2187.8999999999996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204"/>
        <v>37-48 months</v>
      </c>
      <c r="X6543">
        <f t="shared" si="205"/>
        <v>389.5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204"/>
        <v>37-48 months</v>
      </c>
      <c r="X6544">
        <f t="shared" si="205"/>
        <v>1140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204"/>
        <v>49+ months</v>
      </c>
      <c r="X6545">
        <f t="shared" si="205"/>
        <v>3394.5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204"/>
        <v>37-48 months</v>
      </c>
      <c r="X6546">
        <f t="shared" si="205"/>
        <v>4399.5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204"/>
        <v>0-12 months</v>
      </c>
      <c r="X6547">
        <f t="shared" si="205"/>
        <v>671.85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204"/>
        <v>37-48 months</v>
      </c>
      <c r="X6548">
        <f t="shared" si="205"/>
        <v>1227.5999999999999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204"/>
        <v>49+ months</v>
      </c>
      <c r="X6549">
        <f t="shared" si="205"/>
        <v>2852.6000000000004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204"/>
        <v>37-48 months</v>
      </c>
      <c r="X6550">
        <f t="shared" si="205"/>
        <v>1684.8500000000001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204"/>
        <v>0-12 months</v>
      </c>
      <c r="X6551">
        <f t="shared" si="205"/>
        <v>56.25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204"/>
        <v>37-48 months</v>
      </c>
      <c r="X6552">
        <f t="shared" si="205"/>
        <v>2228.1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204"/>
        <v>49+ months</v>
      </c>
      <c r="X6553">
        <f t="shared" si="205"/>
        <v>6048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204"/>
        <v>0-12 months</v>
      </c>
      <c r="X6554">
        <f t="shared" si="205"/>
        <v>159.5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204"/>
        <v>49+ months</v>
      </c>
      <c r="X6555">
        <f t="shared" si="205"/>
        <v>3748.4500000000003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204"/>
        <v>0-12 months</v>
      </c>
      <c r="X6556">
        <f t="shared" si="205"/>
        <v>68.650000000000006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204"/>
        <v>37-48 months</v>
      </c>
      <c r="X6557">
        <f t="shared" si="205"/>
        <v>353.7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204"/>
        <v>0-12 months</v>
      </c>
      <c r="X6558">
        <f t="shared" si="205"/>
        <v>114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204"/>
        <v>37-48 months</v>
      </c>
      <c r="X6559">
        <f t="shared" si="205"/>
        <v>3300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204"/>
        <v>37-48 months</v>
      </c>
      <c r="X6560">
        <f t="shared" si="205"/>
        <v>324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204"/>
        <v>49+ months</v>
      </c>
      <c r="X6561">
        <f t="shared" si="205"/>
        <v>5527.2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204"/>
        <v>37-48 months</v>
      </c>
      <c r="X6562">
        <f t="shared" si="205"/>
        <v>455.40000000000003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204"/>
        <v>0-12 months</v>
      </c>
      <c r="X6563">
        <f t="shared" si="205"/>
        <v>664.19999999999993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204"/>
        <v>37-48 months</v>
      </c>
      <c r="X6564">
        <f t="shared" si="205"/>
        <v>1402.8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204"/>
        <v>37-48 months</v>
      </c>
      <c r="X6565">
        <f t="shared" si="205"/>
        <v>1123.5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204"/>
        <v>0-12 months</v>
      </c>
      <c r="X6566">
        <f t="shared" si="205"/>
        <v>100.25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204"/>
        <v>49+ months</v>
      </c>
      <c r="X6567">
        <f t="shared" si="205"/>
        <v>6478.2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204"/>
        <v>49+ months</v>
      </c>
      <c r="X6568">
        <f t="shared" si="205"/>
        <v>8158.5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204"/>
        <v>37-48 months</v>
      </c>
      <c r="X6569">
        <f t="shared" si="205"/>
        <v>1495.5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204"/>
        <v>0-12 months</v>
      </c>
      <c r="X6570">
        <f t="shared" si="205"/>
        <v>157.6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204"/>
        <v>0-12 months</v>
      </c>
      <c r="X6571">
        <f t="shared" si="205"/>
        <v>156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204"/>
        <v>0-12 months</v>
      </c>
      <c r="X6572">
        <f t="shared" si="205"/>
        <v>116.6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204"/>
        <v>37-48 months</v>
      </c>
      <c r="X6573">
        <f t="shared" si="205"/>
        <v>1870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204"/>
        <v>49+ months</v>
      </c>
      <c r="X6574">
        <f t="shared" si="205"/>
        <v>6174.4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204"/>
        <v>37-48 months</v>
      </c>
      <c r="X6575">
        <f t="shared" si="205"/>
        <v>2295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204"/>
        <v>0-12 months</v>
      </c>
      <c r="X6576">
        <f t="shared" si="205"/>
        <v>810.9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204"/>
        <v>37-48 months</v>
      </c>
      <c r="X6577">
        <f t="shared" si="205"/>
        <v>1299.0999999999999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204"/>
        <v>0-12 months</v>
      </c>
      <c r="X6578">
        <f t="shared" si="205"/>
        <v>40.6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204"/>
        <v>49+ months</v>
      </c>
      <c r="X6579">
        <f t="shared" si="205"/>
        <v>5106.5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204"/>
        <v>0-12 months</v>
      </c>
      <c r="X6580">
        <f t="shared" si="205"/>
        <v>735.5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204"/>
        <v>49+ months</v>
      </c>
      <c r="X6581">
        <f t="shared" si="205"/>
        <v>6069.5999999999995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204"/>
        <v>49+ months</v>
      </c>
      <c r="X6582">
        <f t="shared" si="205"/>
        <v>3822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204"/>
        <v>49+ months</v>
      </c>
      <c r="X6583">
        <f t="shared" si="205"/>
        <v>3893.3999999999996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204"/>
        <v>49+ months</v>
      </c>
      <c r="X6584">
        <f t="shared" si="205"/>
        <v>7579.25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204"/>
        <v>37-48 months</v>
      </c>
      <c r="X6585">
        <f t="shared" si="205"/>
        <v>423.5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204"/>
        <v>49+ months</v>
      </c>
      <c r="X6586">
        <f t="shared" si="205"/>
        <v>1027.5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204"/>
        <v>37-48 months</v>
      </c>
      <c r="X6587">
        <f t="shared" si="205"/>
        <v>860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204"/>
        <v>37-48 months</v>
      </c>
      <c r="X6588">
        <f t="shared" si="205"/>
        <v>1109.25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204"/>
        <v>49+ months</v>
      </c>
      <c r="X6589">
        <f t="shared" si="205"/>
        <v>6624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204"/>
        <v>37-48 months</v>
      </c>
      <c r="X6590">
        <f t="shared" si="205"/>
        <v>548.55000000000007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204"/>
        <v>49+ months</v>
      </c>
      <c r="X6591">
        <f t="shared" si="205"/>
        <v>1754.4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204"/>
        <v>0-12 months</v>
      </c>
      <c r="X6592">
        <f t="shared" si="205"/>
        <v>70.849999999999994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204"/>
        <v>0-12 months</v>
      </c>
      <c r="X6593">
        <f t="shared" si="205"/>
        <v>139.6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204"/>
        <v>37-48 months</v>
      </c>
      <c r="X6594">
        <f t="shared" si="205"/>
        <v>1545.7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206">IF(F6595&lt;=12,"0-12 months",
IF(A6595&lt;=24,"13-24 months",
IF(A6595&lt;=36,"25-36 months",
IF(F6595&lt;=48,"37-48 months","49+ months"))))</f>
        <v>49+ months</v>
      </c>
      <c r="X6595">
        <f t="shared" ref="X6595:X6658" si="207">S6595 * F6595</f>
        <v>3000.25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206"/>
        <v>37-48 months</v>
      </c>
      <c r="X6596">
        <f t="shared" si="207"/>
        <v>280.7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206"/>
        <v>49+ months</v>
      </c>
      <c r="X6597">
        <f t="shared" si="207"/>
        <v>5861.05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206"/>
        <v>49+ months</v>
      </c>
      <c r="X6598">
        <f t="shared" si="207"/>
        <v>5200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206"/>
        <v>0-12 months</v>
      </c>
      <c r="X6599">
        <f t="shared" si="207"/>
        <v>495.25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206"/>
        <v>49+ months</v>
      </c>
      <c r="X6600">
        <f t="shared" si="207"/>
        <v>4235.0999999999995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206"/>
        <v>37-48 months</v>
      </c>
      <c r="X6601">
        <f t="shared" si="207"/>
        <v>1223.3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206"/>
        <v>0-12 months</v>
      </c>
      <c r="X6602">
        <f t="shared" si="207"/>
        <v>89.1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206"/>
        <v>49+ months</v>
      </c>
      <c r="X6603">
        <f t="shared" si="207"/>
        <v>7898.4000000000005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206"/>
        <v>37-48 months</v>
      </c>
      <c r="X6604">
        <f t="shared" si="207"/>
        <v>3854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206"/>
        <v>37-48 months</v>
      </c>
      <c r="X6605">
        <f t="shared" si="207"/>
        <v>932.39999999999986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206"/>
        <v>0-12 months</v>
      </c>
      <c r="X6606">
        <f t="shared" si="207"/>
        <v>89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206"/>
        <v>49+ months</v>
      </c>
      <c r="X6607">
        <f t="shared" si="207"/>
        <v>7319.4000000000005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206"/>
        <v>37-48 months</v>
      </c>
      <c r="X6608">
        <f t="shared" si="207"/>
        <v>3990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206"/>
        <v>0-12 months</v>
      </c>
      <c r="X6609">
        <f t="shared" si="207"/>
        <v>25.3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206"/>
        <v>37-48 months</v>
      </c>
      <c r="X6610">
        <f t="shared" si="207"/>
        <v>1213.3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206"/>
        <v>0-12 months</v>
      </c>
      <c r="X6611">
        <f t="shared" si="207"/>
        <v>20.100000000000001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206"/>
        <v>0-12 months</v>
      </c>
      <c r="X6612">
        <f t="shared" si="207"/>
        <v>400.5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206"/>
        <v>37-48 months</v>
      </c>
      <c r="X6613">
        <f t="shared" si="207"/>
        <v>2002.4499999999998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206"/>
        <v>0-12 months</v>
      </c>
      <c r="X6614">
        <f t="shared" si="207"/>
        <v>69.900000000000006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206"/>
        <v>0-12 months</v>
      </c>
      <c r="X6615">
        <f t="shared" si="207"/>
        <v>61.199999999999996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206"/>
        <v>49+ months</v>
      </c>
      <c r="X6616">
        <f t="shared" si="207"/>
        <v>1398.7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206"/>
        <v>0-12 months</v>
      </c>
      <c r="X6617">
        <f t="shared" si="207"/>
        <v>450.90000000000003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206"/>
        <v>37-48 months</v>
      </c>
      <c r="X6618">
        <f t="shared" si="207"/>
        <v>4360.2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206"/>
        <v>37-48 months</v>
      </c>
      <c r="X6619">
        <f t="shared" si="207"/>
        <v>4005.6000000000004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206"/>
        <v>37-48 months</v>
      </c>
      <c r="X6620">
        <f t="shared" si="207"/>
        <v>2252.9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206"/>
        <v>0-12 months</v>
      </c>
      <c r="X6621">
        <f t="shared" si="207"/>
        <v>181.35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206"/>
        <v>0-12 months</v>
      </c>
      <c r="X6622">
        <f t="shared" si="207"/>
        <v>80.8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206"/>
        <v>37-48 months</v>
      </c>
      <c r="X6623">
        <f t="shared" si="207"/>
        <v>892.4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206"/>
        <v>0-12 months</v>
      </c>
      <c r="X6624">
        <f t="shared" si="207"/>
        <v>124.1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206"/>
        <v>0-12 months</v>
      </c>
      <c r="X6625">
        <f t="shared" si="207"/>
        <v>76.45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206"/>
        <v>49+ months</v>
      </c>
      <c r="X6626">
        <f t="shared" si="207"/>
        <v>3843.2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206"/>
        <v>0-12 months</v>
      </c>
      <c r="X6627">
        <f t="shared" si="207"/>
        <v>1095.5999999999999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206"/>
        <v>0-12 months</v>
      </c>
      <c r="X6628">
        <f t="shared" si="207"/>
        <v>574.5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206"/>
        <v>49+ months</v>
      </c>
      <c r="X6629">
        <f t="shared" si="207"/>
        <v>1200.6500000000001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206"/>
        <v>0-12 months</v>
      </c>
      <c r="X6630">
        <f t="shared" si="207"/>
        <v>658.35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206"/>
        <v>49+ months</v>
      </c>
      <c r="X6631">
        <f t="shared" si="207"/>
        <v>6055.2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206"/>
        <v>37-48 months</v>
      </c>
      <c r="X6632">
        <f t="shared" si="207"/>
        <v>1260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206"/>
        <v>37-48 months</v>
      </c>
      <c r="X6633">
        <f t="shared" si="207"/>
        <v>1388.75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206"/>
        <v>37-48 months</v>
      </c>
      <c r="X6634">
        <f t="shared" si="207"/>
        <v>2130.1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206"/>
        <v>0-12 months</v>
      </c>
      <c r="X6635">
        <f t="shared" si="207"/>
        <v>74.5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206"/>
        <v>0-12 months</v>
      </c>
      <c r="X6636">
        <f t="shared" si="207"/>
        <v>1021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206"/>
        <v>37-48 months</v>
      </c>
      <c r="X6637">
        <f t="shared" si="207"/>
        <v>482.40000000000003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206"/>
        <v>0-12 months</v>
      </c>
      <c r="X6638">
        <f t="shared" si="207"/>
        <v>703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206"/>
        <v>49+ months</v>
      </c>
      <c r="X6639">
        <f t="shared" si="207"/>
        <v>3701.85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206"/>
        <v>49+ months</v>
      </c>
      <c r="X6640">
        <f t="shared" si="207"/>
        <v>1182.75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206"/>
        <v>49+ months</v>
      </c>
      <c r="X6641">
        <f t="shared" si="207"/>
        <v>5170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206"/>
        <v>37-48 months</v>
      </c>
      <c r="X6642">
        <f t="shared" si="207"/>
        <v>1422.3999999999999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206"/>
        <v>37-48 months</v>
      </c>
      <c r="X6643">
        <f t="shared" si="207"/>
        <v>802.4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206"/>
        <v>37-48 months</v>
      </c>
      <c r="X6644">
        <f t="shared" si="207"/>
        <v>1975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206"/>
        <v>0-12 months</v>
      </c>
      <c r="X6645">
        <f t="shared" si="207"/>
        <v>223.79999999999998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206"/>
        <v>49+ months</v>
      </c>
      <c r="X6646">
        <f t="shared" si="207"/>
        <v>5886.5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206"/>
        <v>0-12 months</v>
      </c>
      <c r="X6647">
        <f t="shared" si="207"/>
        <v>40.200000000000003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206"/>
        <v>49+ months</v>
      </c>
      <c r="X6648">
        <f t="shared" si="207"/>
        <v>989.4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206"/>
        <v>49+ months</v>
      </c>
      <c r="X6649">
        <f t="shared" si="207"/>
        <v>5506.05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206"/>
        <v>37-48 months</v>
      </c>
      <c r="X6650">
        <f t="shared" si="207"/>
        <v>401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206"/>
        <v>0-12 months</v>
      </c>
      <c r="X6651">
        <f t="shared" si="207"/>
        <v>119.10000000000001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206"/>
        <v>0-12 months</v>
      </c>
      <c r="X6652">
        <f t="shared" si="207"/>
        <v>121.19999999999999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206"/>
        <v>37-48 months</v>
      </c>
      <c r="X6653">
        <f t="shared" si="207"/>
        <v>1956.0500000000002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206"/>
        <v>37-48 months</v>
      </c>
      <c r="X6654">
        <f t="shared" si="207"/>
        <v>667.80000000000007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206"/>
        <v>37-48 months</v>
      </c>
      <c r="X6655">
        <f t="shared" si="207"/>
        <v>833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206"/>
        <v>0-12 months</v>
      </c>
      <c r="X6656">
        <f t="shared" si="207"/>
        <v>605.5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206"/>
        <v>49+ months</v>
      </c>
      <c r="X6657">
        <f t="shared" si="207"/>
        <v>1524.6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206"/>
        <v>37-48 months</v>
      </c>
      <c r="X6658">
        <f t="shared" si="207"/>
        <v>1130.4000000000001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208">IF(F6659&lt;=12,"0-12 months",
IF(A6659&lt;=24,"13-24 months",
IF(A6659&lt;=36,"25-36 months",
IF(F6659&lt;=48,"37-48 months","49+ months"))))</f>
        <v>49+ months</v>
      </c>
      <c r="X6659">
        <f t="shared" ref="X6659:X6722" si="209">S6659 * F6659</f>
        <v>1002.05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208"/>
        <v>37-48 months</v>
      </c>
      <c r="X6660">
        <f t="shared" si="209"/>
        <v>2199.15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208"/>
        <v>49+ months</v>
      </c>
      <c r="X6661">
        <f t="shared" si="209"/>
        <v>6645.5999999999995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208"/>
        <v>0-12 months</v>
      </c>
      <c r="X6662">
        <f t="shared" si="209"/>
        <v>69.150000000000006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208"/>
        <v>49+ months</v>
      </c>
      <c r="X6663">
        <f t="shared" si="209"/>
        <v>3862.7999999999997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208"/>
        <v>37-48 months</v>
      </c>
      <c r="X6664">
        <f t="shared" si="209"/>
        <v>1863.55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208"/>
        <v>0-12 months</v>
      </c>
      <c r="X6665">
        <f t="shared" si="209"/>
        <v>54.65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208"/>
        <v>37-48 months</v>
      </c>
      <c r="X6666">
        <f t="shared" si="209"/>
        <v>3772.7999999999997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208"/>
        <v>37-48 months</v>
      </c>
      <c r="X6667">
        <f t="shared" si="209"/>
        <v>1259.9000000000001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208"/>
        <v>37-48 months</v>
      </c>
      <c r="X6668">
        <f t="shared" si="209"/>
        <v>2263.9499999999998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208"/>
        <v>0-12 months</v>
      </c>
      <c r="X6669">
        <f t="shared" si="209"/>
        <v>715.94999999999993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208"/>
        <v>37-48 months</v>
      </c>
      <c r="X6670">
        <f t="shared" si="209"/>
        <v>3938.7000000000003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208"/>
        <v>37-48 months</v>
      </c>
      <c r="X6671">
        <f t="shared" si="209"/>
        <v>3466.75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208"/>
        <v>0-12 months</v>
      </c>
      <c r="X6672">
        <f t="shared" si="209"/>
        <v>0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208"/>
        <v>49+ months</v>
      </c>
      <c r="X6673">
        <f t="shared" si="209"/>
        <v>5902.95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208"/>
        <v>37-48 months</v>
      </c>
      <c r="X6674">
        <f t="shared" si="209"/>
        <v>549.45000000000005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208"/>
        <v>0-12 months</v>
      </c>
      <c r="X6675">
        <f t="shared" si="209"/>
        <v>87.9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208"/>
        <v>0-12 months</v>
      </c>
      <c r="X6676">
        <f t="shared" si="209"/>
        <v>164.5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208"/>
        <v>37-48 months</v>
      </c>
      <c r="X6677">
        <f t="shared" si="209"/>
        <v>2545.2000000000003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208"/>
        <v>37-48 months</v>
      </c>
      <c r="X6678">
        <f t="shared" si="209"/>
        <v>3866.2999999999997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208"/>
        <v>37-48 months</v>
      </c>
      <c r="X6679">
        <f t="shared" si="209"/>
        <v>378.95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208"/>
        <v>37-48 months</v>
      </c>
      <c r="X6680">
        <f t="shared" si="209"/>
        <v>396.15000000000003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208"/>
        <v>49+ months</v>
      </c>
      <c r="X6681">
        <f t="shared" si="209"/>
        <v>2262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208"/>
        <v>37-48 months</v>
      </c>
      <c r="X6682">
        <f t="shared" si="209"/>
        <v>4584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208"/>
        <v>0-12 months</v>
      </c>
      <c r="X6683">
        <f t="shared" si="209"/>
        <v>273.14999999999998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208"/>
        <v>49+ months</v>
      </c>
      <c r="X6684">
        <f t="shared" si="209"/>
        <v>6379.05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208"/>
        <v>37-48 months</v>
      </c>
      <c r="X6685">
        <f t="shared" si="209"/>
        <v>1898.45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208"/>
        <v>0-12 months</v>
      </c>
      <c r="X6686">
        <f t="shared" si="209"/>
        <v>396.54999999999995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208"/>
        <v>37-48 months</v>
      </c>
      <c r="X6687">
        <f t="shared" si="209"/>
        <v>2261.25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208"/>
        <v>49+ months</v>
      </c>
      <c r="X6688">
        <f t="shared" si="209"/>
        <v>7902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208"/>
        <v>0-12 months</v>
      </c>
      <c r="X6689">
        <f t="shared" si="209"/>
        <v>158.4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208"/>
        <v>0-12 months</v>
      </c>
      <c r="X6690">
        <f t="shared" si="209"/>
        <v>243.60000000000002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208"/>
        <v>49+ months</v>
      </c>
      <c r="X6691">
        <f t="shared" si="209"/>
        <v>7527.45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208"/>
        <v>37-48 months</v>
      </c>
      <c r="X6692">
        <f t="shared" si="209"/>
        <v>3489.1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208"/>
        <v>37-48 months</v>
      </c>
      <c r="X6693">
        <f t="shared" si="209"/>
        <v>1604.85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208"/>
        <v>37-48 months</v>
      </c>
      <c r="X6694">
        <f t="shared" si="209"/>
        <v>3060.65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208"/>
        <v>37-48 months</v>
      </c>
      <c r="X6695">
        <f t="shared" si="209"/>
        <v>1206.25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208"/>
        <v>0-12 months</v>
      </c>
      <c r="X6696">
        <f t="shared" si="209"/>
        <v>609.20000000000005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208"/>
        <v>49+ months</v>
      </c>
      <c r="X6697">
        <f t="shared" si="209"/>
        <v>5048.0999999999995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208"/>
        <v>0-12 months</v>
      </c>
      <c r="X6698">
        <f t="shared" si="209"/>
        <v>482.75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208"/>
        <v>37-48 months</v>
      </c>
      <c r="X6699">
        <f t="shared" si="209"/>
        <v>2379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208"/>
        <v>37-48 months</v>
      </c>
      <c r="X6700">
        <f t="shared" si="209"/>
        <v>3584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208"/>
        <v>49+ months</v>
      </c>
      <c r="X6701">
        <f t="shared" si="209"/>
        <v>1107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208"/>
        <v>49+ months</v>
      </c>
      <c r="X6702">
        <f t="shared" si="209"/>
        <v>7653.5999999999995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208"/>
        <v>37-48 months</v>
      </c>
      <c r="X6703">
        <f t="shared" si="209"/>
        <v>2809.7999999999997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208"/>
        <v>37-48 months</v>
      </c>
      <c r="X6704">
        <f t="shared" si="209"/>
        <v>1540.8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208"/>
        <v>0-12 months</v>
      </c>
      <c r="X6705">
        <f t="shared" si="209"/>
        <v>90.5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208"/>
        <v>49+ months</v>
      </c>
      <c r="X6706">
        <f t="shared" si="209"/>
        <v>6262.85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208"/>
        <v>37-48 months</v>
      </c>
      <c r="X6707">
        <f t="shared" si="209"/>
        <v>1124.2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208"/>
        <v>0-12 months</v>
      </c>
      <c r="X6708">
        <f t="shared" si="209"/>
        <v>19.899999999999999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208"/>
        <v>49+ months</v>
      </c>
      <c r="X6709">
        <f t="shared" si="209"/>
        <v>1850.3999999999999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208"/>
        <v>37-48 months</v>
      </c>
      <c r="X6710">
        <f t="shared" si="209"/>
        <v>1040.2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208"/>
        <v>49+ months</v>
      </c>
      <c r="X6711">
        <f t="shared" si="209"/>
        <v>4970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208"/>
        <v>37-48 months</v>
      </c>
      <c r="X6712">
        <f t="shared" si="209"/>
        <v>3345.6000000000004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208"/>
        <v>49+ months</v>
      </c>
      <c r="X6713">
        <f t="shared" si="209"/>
        <v>4819.1499999999996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208"/>
        <v>37-48 months</v>
      </c>
      <c r="X6714">
        <f t="shared" si="209"/>
        <v>2392.6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208"/>
        <v>49+ months</v>
      </c>
      <c r="X6715">
        <f t="shared" si="209"/>
        <v>6521.2000000000007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208"/>
        <v>37-48 months</v>
      </c>
      <c r="X6716">
        <f t="shared" si="209"/>
        <v>1309.75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208"/>
        <v>0-12 months</v>
      </c>
      <c r="X6717">
        <f t="shared" si="209"/>
        <v>981.2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208"/>
        <v>0-12 months</v>
      </c>
      <c r="X6718">
        <f t="shared" si="209"/>
        <v>222.29999999999998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208"/>
        <v>49+ months</v>
      </c>
      <c r="X6719">
        <f t="shared" si="209"/>
        <v>5734.2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208"/>
        <v>0-12 months</v>
      </c>
      <c r="X6720">
        <f t="shared" si="209"/>
        <v>225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208"/>
        <v>49+ months</v>
      </c>
      <c r="X6721">
        <f t="shared" si="209"/>
        <v>1854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208"/>
        <v>49+ months</v>
      </c>
      <c r="X6722">
        <f t="shared" si="209"/>
        <v>5887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210">IF(F6723&lt;=12,"0-12 months",
IF(A6723&lt;=24,"13-24 months",
IF(A6723&lt;=36,"25-36 months",
IF(F6723&lt;=48,"37-48 months","49+ months"))))</f>
        <v>49+ months</v>
      </c>
      <c r="X6723">
        <f t="shared" ref="X6723:X6786" si="211">S6723 * F6723</f>
        <v>3885.7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210"/>
        <v>49+ months</v>
      </c>
      <c r="X6724">
        <f t="shared" si="211"/>
        <v>7172.3499999999995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210"/>
        <v>37-48 months</v>
      </c>
      <c r="X6725">
        <f t="shared" si="211"/>
        <v>922.30000000000007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210"/>
        <v>49+ months</v>
      </c>
      <c r="X6726">
        <f t="shared" si="211"/>
        <v>4492.8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210"/>
        <v>37-48 months</v>
      </c>
      <c r="X6727">
        <f t="shared" si="211"/>
        <v>721.5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210"/>
        <v>0-12 months</v>
      </c>
      <c r="X6728">
        <f t="shared" si="211"/>
        <v>141.5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210"/>
        <v>37-48 months</v>
      </c>
      <c r="X6729">
        <f t="shared" si="211"/>
        <v>588.9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210"/>
        <v>49+ months</v>
      </c>
      <c r="X6730">
        <f t="shared" si="211"/>
        <v>8290.8000000000011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210"/>
        <v>49+ months</v>
      </c>
      <c r="X6731">
        <f t="shared" si="211"/>
        <v>4960.6000000000004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210"/>
        <v>37-48 months</v>
      </c>
      <c r="X6732">
        <f t="shared" si="211"/>
        <v>294.75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210"/>
        <v>37-48 months</v>
      </c>
      <c r="X6733">
        <f t="shared" si="211"/>
        <v>469.20000000000005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210"/>
        <v>37-48 months</v>
      </c>
      <c r="X6734">
        <f t="shared" si="211"/>
        <v>2149.1999999999998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210"/>
        <v>37-48 months</v>
      </c>
      <c r="X6735">
        <f t="shared" si="211"/>
        <v>1359.45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210"/>
        <v>0-12 months</v>
      </c>
      <c r="X6736">
        <f t="shared" si="211"/>
        <v>603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210"/>
        <v>49+ months</v>
      </c>
      <c r="X6737">
        <f t="shared" si="211"/>
        <v>6194.75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210"/>
        <v>49+ months</v>
      </c>
      <c r="X6738">
        <f t="shared" si="211"/>
        <v>1393.6000000000001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210"/>
        <v>49+ months</v>
      </c>
      <c r="X6739">
        <f t="shared" si="211"/>
        <v>6882.75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210"/>
        <v>0-12 months</v>
      </c>
      <c r="X6740">
        <f t="shared" si="211"/>
        <v>20.350000000000001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210"/>
        <v>0-12 months</v>
      </c>
      <c r="X6741">
        <f t="shared" si="211"/>
        <v>223.6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210"/>
        <v>37-48 months</v>
      </c>
      <c r="X6742">
        <f t="shared" si="211"/>
        <v>3168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210"/>
        <v>0-12 months</v>
      </c>
      <c r="X6743">
        <f t="shared" si="211"/>
        <v>1152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210"/>
        <v>49+ months</v>
      </c>
      <c r="X6744">
        <f t="shared" si="211"/>
        <v>4118.4000000000005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210"/>
        <v>0-12 months</v>
      </c>
      <c r="X6745">
        <f t="shared" si="211"/>
        <v>240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210"/>
        <v>49+ months</v>
      </c>
      <c r="X6746">
        <f t="shared" si="211"/>
        <v>6891.7999999999993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210"/>
        <v>49+ months</v>
      </c>
      <c r="X6747">
        <f t="shared" si="211"/>
        <v>5405.4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210"/>
        <v>0-12 months</v>
      </c>
      <c r="X6748">
        <f t="shared" si="211"/>
        <v>226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210"/>
        <v>49+ months</v>
      </c>
      <c r="X6749">
        <f t="shared" si="211"/>
        <v>1843.4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210"/>
        <v>0-12 months</v>
      </c>
      <c r="X6750">
        <f t="shared" si="211"/>
        <v>85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210"/>
        <v>49+ months</v>
      </c>
      <c r="X6751">
        <f t="shared" si="211"/>
        <v>5558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210"/>
        <v>37-48 months</v>
      </c>
      <c r="X6752">
        <f t="shared" si="211"/>
        <v>1513.6000000000001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210"/>
        <v>49+ months</v>
      </c>
      <c r="X6753">
        <f t="shared" si="211"/>
        <v>1021.8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210"/>
        <v>0-12 months</v>
      </c>
      <c r="X6754">
        <f t="shared" si="211"/>
        <v>598.20000000000005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210"/>
        <v>49+ months</v>
      </c>
      <c r="X6755">
        <f t="shared" si="211"/>
        <v>3850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210"/>
        <v>0-12 months</v>
      </c>
      <c r="X6756">
        <f t="shared" si="211"/>
        <v>0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210"/>
        <v>37-48 months</v>
      </c>
      <c r="X6757">
        <f t="shared" si="211"/>
        <v>3355.8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210"/>
        <v>37-48 months</v>
      </c>
      <c r="X6758">
        <f t="shared" si="211"/>
        <v>1974.5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210"/>
        <v>49+ months</v>
      </c>
      <c r="X6759">
        <f t="shared" si="211"/>
        <v>3024.2999999999997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210"/>
        <v>37-48 months</v>
      </c>
      <c r="X6760">
        <f t="shared" si="211"/>
        <v>523.79999999999995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210"/>
        <v>49+ months</v>
      </c>
      <c r="X6761">
        <f t="shared" si="211"/>
        <v>4776.1500000000005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210"/>
        <v>0-12 months</v>
      </c>
      <c r="X6762">
        <f t="shared" si="211"/>
        <v>197.6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210"/>
        <v>0-12 months</v>
      </c>
      <c r="X6763">
        <f t="shared" si="211"/>
        <v>19.899999999999999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210"/>
        <v>37-48 months</v>
      </c>
      <c r="X6764">
        <f t="shared" si="211"/>
        <v>1925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210"/>
        <v>49+ months</v>
      </c>
      <c r="X6765">
        <f t="shared" si="211"/>
        <v>5175.9000000000005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210"/>
        <v>0-12 months</v>
      </c>
      <c r="X6766">
        <f t="shared" si="211"/>
        <v>69.2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210"/>
        <v>49+ months</v>
      </c>
      <c r="X6767">
        <f t="shared" si="211"/>
        <v>1766.4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210"/>
        <v>37-48 months</v>
      </c>
      <c r="X6768">
        <f t="shared" si="211"/>
        <v>276.5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210"/>
        <v>49+ months</v>
      </c>
      <c r="X6769">
        <f t="shared" si="211"/>
        <v>3174.9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210"/>
        <v>49+ months</v>
      </c>
      <c r="X6770">
        <f t="shared" si="211"/>
        <v>8460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210"/>
        <v>37-48 months</v>
      </c>
      <c r="X6771">
        <f t="shared" si="211"/>
        <v>952.80000000000007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210"/>
        <v>0-12 months</v>
      </c>
      <c r="X6772">
        <f t="shared" si="211"/>
        <v>315.60000000000002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210"/>
        <v>37-48 months</v>
      </c>
      <c r="X6773">
        <f t="shared" si="211"/>
        <v>640.15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210"/>
        <v>37-48 months</v>
      </c>
      <c r="X6774">
        <f t="shared" si="211"/>
        <v>2367.4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210"/>
        <v>37-48 months</v>
      </c>
      <c r="X6775">
        <f t="shared" si="211"/>
        <v>3422.5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210"/>
        <v>0-12 months</v>
      </c>
      <c r="X6776">
        <f t="shared" si="211"/>
        <v>19.649999999999999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210"/>
        <v>49+ months</v>
      </c>
      <c r="X6777">
        <f t="shared" si="211"/>
        <v>4545.75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210"/>
        <v>49+ months</v>
      </c>
      <c r="X6778">
        <f t="shared" si="211"/>
        <v>4956.9000000000005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210"/>
        <v>0-12 months</v>
      </c>
      <c r="X6779">
        <f t="shared" si="211"/>
        <v>89.699999999999989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210"/>
        <v>49+ months</v>
      </c>
      <c r="X6780">
        <f t="shared" si="211"/>
        <v>1422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210"/>
        <v>37-48 months</v>
      </c>
      <c r="X6781">
        <f t="shared" si="211"/>
        <v>1305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210"/>
        <v>37-48 months</v>
      </c>
      <c r="X6782">
        <f t="shared" si="211"/>
        <v>582.4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210"/>
        <v>0-12 months</v>
      </c>
      <c r="X6783">
        <f t="shared" si="211"/>
        <v>208.95000000000002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210"/>
        <v>0-12 months</v>
      </c>
      <c r="X6784">
        <f t="shared" si="211"/>
        <v>562.1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210"/>
        <v>37-48 months</v>
      </c>
      <c r="X6785">
        <f t="shared" si="211"/>
        <v>1116.1499999999999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210"/>
        <v>37-48 months</v>
      </c>
      <c r="X6786">
        <f t="shared" si="211"/>
        <v>469.3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212">IF(F6787&lt;=12,"0-12 months",
IF(A6787&lt;=24,"13-24 months",
IF(A6787&lt;=36,"25-36 months",
IF(F6787&lt;=48,"37-48 months","49+ months"))))</f>
        <v>49+ months</v>
      </c>
      <c r="X6787">
        <f t="shared" ref="X6787:X6850" si="213">S6787 * F6787</f>
        <v>6807.5999999999995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212"/>
        <v>0-12 months</v>
      </c>
      <c r="X6788">
        <f t="shared" si="213"/>
        <v>534.04999999999995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212"/>
        <v>37-48 months</v>
      </c>
      <c r="X6789">
        <f t="shared" si="213"/>
        <v>3848.25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212"/>
        <v>37-48 months</v>
      </c>
      <c r="X6790">
        <f t="shared" si="213"/>
        <v>520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212"/>
        <v>0-12 months</v>
      </c>
      <c r="X6791">
        <f t="shared" si="213"/>
        <v>20.2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212"/>
        <v>49+ months</v>
      </c>
      <c r="X6792">
        <f t="shared" si="213"/>
        <v>1715.2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212"/>
        <v>37-48 months</v>
      </c>
      <c r="X6793">
        <f t="shared" si="213"/>
        <v>753.35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212"/>
        <v>49+ months</v>
      </c>
      <c r="X6794">
        <f t="shared" si="213"/>
        <v>1394.3999999999999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212"/>
        <v>49+ months</v>
      </c>
      <c r="X6795">
        <f t="shared" si="213"/>
        <v>7804.8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212"/>
        <v>37-48 months</v>
      </c>
      <c r="X6796">
        <f t="shared" si="213"/>
        <v>840.65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212"/>
        <v>49+ months</v>
      </c>
      <c r="X6797">
        <f t="shared" si="213"/>
        <v>4680.5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212"/>
        <v>0-12 months</v>
      </c>
      <c r="X6798">
        <f t="shared" si="213"/>
        <v>113.4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212"/>
        <v>37-48 months</v>
      </c>
      <c r="X6799">
        <f t="shared" si="213"/>
        <v>1864.35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212"/>
        <v>37-48 months</v>
      </c>
      <c r="X6800">
        <f t="shared" si="213"/>
        <v>911.95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212"/>
        <v>49+ months</v>
      </c>
      <c r="X6801">
        <f t="shared" si="213"/>
        <v>7780.5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212"/>
        <v>37-48 months</v>
      </c>
      <c r="X6802">
        <f t="shared" si="213"/>
        <v>1483.3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212"/>
        <v>37-48 months</v>
      </c>
      <c r="X6803">
        <f t="shared" si="213"/>
        <v>1697.6499999999999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212"/>
        <v>37-48 months</v>
      </c>
      <c r="X6804">
        <f t="shared" si="213"/>
        <v>1782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212"/>
        <v>37-48 months</v>
      </c>
      <c r="X6805">
        <f t="shared" si="213"/>
        <v>3923.75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212"/>
        <v>0-12 months</v>
      </c>
      <c r="X6806">
        <f t="shared" si="213"/>
        <v>451.75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212"/>
        <v>49+ months</v>
      </c>
      <c r="X6807">
        <f t="shared" si="213"/>
        <v>7388.5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212"/>
        <v>37-48 months</v>
      </c>
      <c r="X6808">
        <f t="shared" si="213"/>
        <v>764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212"/>
        <v>0-12 months</v>
      </c>
      <c r="X6809">
        <f t="shared" si="213"/>
        <v>122.39999999999999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212"/>
        <v>37-48 months</v>
      </c>
      <c r="X6810">
        <f t="shared" si="213"/>
        <v>3917.55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212"/>
        <v>0-12 months</v>
      </c>
      <c r="X6811">
        <f t="shared" si="213"/>
        <v>299.8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212"/>
        <v>37-48 months</v>
      </c>
      <c r="X6812">
        <f t="shared" si="213"/>
        <v>445.5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212"/>
        <v>0-12 months</v>
      </c>
      <c r="X6813">
        <f t="shared" si="213"/>
        <v>50.35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212"/>
        <v>37-48 months</v>
      </c>
      <c r="X6814">
        <f t="shared" si="213"/>
        <v>3856.5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212"/>
        <v>49+ months</v>
      </c>
      <c r="X6815">
        <f t="shared" si="213"/>
        <v>3062.4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212"/>
        <v>49+ months</v>
      </c>
      <c r="X6816">
        <f t="shared" si="213"/>
        <v>5358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212"/>
        <v>49+ months</v>
      </c>
      <c r="X6817">
        <f t="shared" si="213"/>
        <v>5029.2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212"/>
        <v>0-12 months</v>
      </c>
      <c r="X6818">
        <f t="shared" si="213"/>
        <v>70.3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212"/>
        <v>49+ months</v>
      </c>
      <c r="X6819">
        <f t="shared" si="213"/>
        <v>1861.2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212"/>
        <v>0-12 months</v>
      </c>
      <c r="X6820">
        <f t="shared" si="213"/>
        <v>213.29999999999998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212"/>
        <v>49+ months</v>
      </c>
      <c r="X6821">
        <f t="shared" si="213"/>
        <v>5434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212"/>
        <v>49+ months</v>
      </c>
      <c r="X6822">
        <f t="shared" si="213"/>
        <v>5507.65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212"/>
        <v>37-48 months</v>
      </c>
      <c r="X6823">
        <f t="shared" si="213"/>
        <v>1797.3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212"/>
        <v>37-48 months</v>
      </c>
      <c r="X6824">
        <f t="shared" si="213"/>
        <v>2569.6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212"/>
        <v>0-12 months</v>
      </c>
      <c r="X6825">
        <f t="shared" si="213"/>
        <v>202.2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212"/>
        <v>49+ months</v>
      </c>
      <c r="X6826">
        <f t="shared" si="213"/>
        <v>5309.7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212"/>
        <v>37-48 months</v>
      </c>
      <c r="X6827">
        <f t="shared" si="213"/>
        <v>2195.1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212"/>
        <v>0-12 months</v>
      </c>
      <c r="X6828">
        <f t="shared" si="213"/>
        <v>82.8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212"/>
        <v>49+ months</v>
      </c>
      <c r="X6829">
        <f t="shared" si="213"/>
        <v>4743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212"/>
        <v>0-12 months</v>
      </c>
      <c r="X6830">
        <f t="shared" si="213"/>
        <v>152.4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212"/>
        <v>0-12 months</v>
      </c>
      <c r="X6831">
        <f t="shared" si="213"/>
        <v>156.80000000000001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212"/>
        <v>37-48 months</v>
      </c>
      <c r="X6832">
        <f t="shared" si="213"/>
        <v>707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212"/>
        <v>0-12 months</v>
      </c>
      <c r="X6833">
        <f t="shared" si="213"/>
        <v>607.6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212"/>
        <v>49+ months</v>
      </c>
      <c r="X6834">
        <f t="shared" si="213"/>
        <v>1107.6999999999998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212"/>
        <v>37-48 months</v>
      </c>
      <c r="X6835">
        <f t="shared" si="213"/>
        <v>1864.8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212"/>
        <v>37-48 months</v>
      </c>
      <c r="X6836">
        <f t="shared" si="213"/>
        <v>582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212"/>
        <v>49+ months</v>
      </c>
      <c r="X6837">
        <f t="shared" si="213"/>
        <v>5922.8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212"/>
        <v>0-12 months</v>
      </c>
      <c r="X6838">
        <f t="shared" si="213"/>
        <v>505.20000000000005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212"/>
        <v>0-12 months</v>
      </c>
      <c r="X6839">
        <f t="shared" si="213"/>
        <v>478.20000000000005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212"/>
        <v>37-48 months</v>
      </c>
      <c r="X6840">
        <f t="shared" si="213"/>
        <v>1287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212"/>
        <v>0-12 months</v>
      </c>
      <c r="X6841">
        <f t="shared" si="213"/>
        <v>1108.25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212"/>
        <v>0-12 months</v>
      </c>
      <c r="X6842">
        <f t="shared" si="213"/>
        <v>19.3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212"/>
        <v>0-12 months</v>
      </c>
      <c r="X6843">
        <f t="shared" si="213"/>
        <v>278.75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212"/>
        <v>37-48 months</v>
      </c>
      <c r="X6844">
        <f t="shared" si="213"/>
        <v>259.34999999999997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212"/>
        <v>0-12 months</v>
      </c>
      <c r="X6845">
        <f t="shared" si="213"/>
        <v>825.75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212"/>
        <v>37-48 months</v>
      </c>
      <c r="X6846">
        <f t="shared" si="213"/>
        <v>2599.8500000000004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212"/>
        <v>0-12 months</v>
      </c>
      <c r="X6847">
        <f t="shared" si="213"/>
        <v>45.85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212"/>
        <v>0-12 months</v>
      </c>
      <c r="X6848">
        <f t="shared" si="213"/>
        <v>79.55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212"/>
        <v>37-48 months</v>
      </c>
      <c r="X6849">
        <f t="shared" si="213"/>
        <v>1007.1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212"/>
        <v>0-12 months</v>
      </c>
      <c r="X6850">
        <f t="shared" si="213"/>
        <v>138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214">IF(F6851&lt;=12,"0-12 months",
IF(A6851&lt;=24,"13-24 months",
IF(A6851&lt;=36,"25-36 months",
IF(F6851&lt;=48,"37-48 months","49+ months"))))</f>
        <v>37-48 months</v>
      </c>
      <c r="X6851">
        <f t="shared" ref="X6851:X6914" si="215">S6851 * F6851</f>
        <v>2506.5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214"/>
        <v>49+ months</v>
      </c>
      <c r="X6852">
        <f t="shared" si="215"/>
        <v>4336.2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214"/>
        <v>37-48 months</v>
      </c>
      <c r="X6853">
        <f t="shared" si="215"/>
        <v>3606.2000000000003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214"/>
        <v>37-48 months</v>
      </c>
      <c r="X6854">
        <f t="shared" si="215"/>
        <v>2723.6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214"/>
        <v>49+ months</v>
      </c>
      <c r="X6855">
        <f t="shared" si="215"/>
        <v>5999.4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214"/>
        <v>0-12 months</v>
      </c>
      <c r="X6856">
        <f t="shared" si="215"/>
        <v>40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214"/>
        <v>37-48 months</v>
      </c>
      <c r="X6857">
        <f t="shared" si="215"/>
        <v>2843.4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214"/>
        <v>49+ months</v>
      </c>
      <c r="X6858">
        <f t="shared" si="215"/>
        <v>1458.6999999999998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214"/>
        <v>49+ months</v>
      </c>
      <c r="X6859">
        <f t="shared" si="215"/>
        <v>5385.2999999999993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214"/>
        <v>37-48 months</v>
      </c>
      <c r="X6860">
        <f t="shared" si="215"/>
        <v>2227.5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214"/>
        <v>49+ months</v>
      </c>
      <c r="X6861">
        <f t="shared" si="215"/>
        <v>7902.3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214"/>
        <v>37-48 months</v>
      </c>
      <c r="X6862">
        <f t="shared" si="215"/>
        <v>3770.3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214"/>
        <v>37-48 months</v>
      </c>
      <c r="X6863">
        <f t="shared" si="215"/>
        <v>1283.1000000000001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214"/>
        <v>0-12 months</v>
      </c>
      <c r="X6864">
        <f t="shared" si="215"/>
        <v>355.4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214"/>
        <v>37-48 months</v>
      </c>
      <c r="X6865">
        <f t="shared" si="215"/>
        <v>2908.8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214"/>
        <v>0-12 months</v>
      </c>
      <c r="X6866">
        <f t="shared" si="215"/>
        <v>75.900000000000006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214"/>
        <v>0-12 months</v>
      </c>
      <c r="X6867">
        <f t="shared" si="215"/>
        <v>524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214"/>
        <v>0-12 months</v>
      </c>
      <c r="X6868">
        <f t="shared" si="215"/>
        <v>95.45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214"/>
        <v>49+ months</v>
      </c>
      <c r="X6869">
        <f t="shared" si="215"/>
        <v>1336.6499999999999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214"/>
        <v>37-48 months</v>
      </c>
      <c r="X6870">
        <f t="shared" si="215"/>
        <v>1184.3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214"/>
        <v>37-48 months</v>
      </c>
      <c r="X6871">
        <f t="shared" si="215"/>
        <v>2436.75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214"/>
        <v>49+ months</v>
      </c>
      <c r="X6872">
        <f t="shared" si="215"/>
        <v>3655.3999999999996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214"/>
        <v>49+ months</v>
      </c>
      <c r="X6873">
        <f t="shared" si="215"/>
        <v>4919.2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214"/>
        <v>49+ months</v>
      </c>
      <c r="X6874">
        <f t="shared" si="215"/>
        <v>5112.4500000000007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214"/>
        <v>49+ months</v>
      </c>
      <c r="X6875">
        <f t="shared" si="215"/>
        <v>6055.4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214"/>
        <v>37-48 months</v>
      </c>
      <c r="X6876">
        <f t="shared" si="215"/>
        <v>1525.2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214"/>
        <v>49+ months</v>
      </c>
      <c r="X6877">
        <f t="shared" si="215"/>
        <v>1244.8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214"/>
        <v>49+ months</v>
      </c>
      <c r="X6878">
        <f t="shared" si="215"/>
        <v>6466.5999999999995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214"/>
        <v>0-12 months</v>
      </c>
      <c r="X6879">
        <f t="shared" si="215"/>
        <v>69.7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214"/>
        <v>0-12 months</v>
      </c>
      <c r="X6880">
        <f t="shared" si="215"/>
        <v>537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214"/>
        <v>37-48 months</v>
      </c>
      <c r="X6881">
        <f t="shared" si="215"/>
        <v>1807.05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214"/>
        <v>49+ months</v>
      </c>
      <c r="X6882">
        <f t="shared" si="215"/>
        <v>1814.3999999999999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214"/>
        <v>37-48 months</v>
      </c>
      <c r="X6883">
        <f t="shared" si="215"/>
        <v>1124.8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214"/>
        <v>49+ months</v>
      </c>
      <c r="X6884">
        <f t="shared" si="215"/>
        <v>7075.1500000000005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214"/>
        <v>37-48 months</v>
      </c>
      <c r="X6885">
        <f t="shared" si="215"/>
        <v>3581.8999999999996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214"/>
        <v>0-12 months</v>
      </c>
      <c r="X6886">
        <f t="shared" si="215"/>
        <v>105.44999999999999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214"/>
        <v>0-12 months</v>
      </c>
      <c r="X6887">
        <f t="shared" si="215"/>
        <v>885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214"/>
        <v>0-12 months</v>
      </c>
      <c r="X6888">
        <f t="shared" si="215"/>
        <v>810.8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214"/>
        <v>37-48 months</v>
      </c>
      <c r="X6889">
        <f t="shared" si="215"/>
        <v>850.5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214"/>
        <v>0-12 months</v>
      </c>
      <c r="X6890">
        <f t="shared" si="215"/>
        <v>242.10000000000002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214"/>
        <v>0-12 months</v>
      </c>
      <c r="X6891">
        <f t="shared" si="215"/>
        <v>269.54999999999995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214"/>
        <v>49+ months</v>
      </c>
      <c r="X6892">
        <f t="shared" si="215"/>
        <v>3238.3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214"/>
        <v>0-12 months</v>
      </c>
      <c r="X6893">
        <f t="shared" si="215"/>
        <v>116.2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214"/>
        <v>37-48 months</v>
      </c>
      <c r="X6894">
        <f t="shared" si="215"/>
        <v>4785.6000000000004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214"/>
        <v>0-12 months</v>
      </c>
      <c r="X6895">
        <f t="shared" si="215"/>
        <v>335.4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214"/>
        <v>0-12 months</v>
      </c>
      <c r="X6896">
        <f t="shared" si="215"/>
        <v>317.70000000000005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214"/>
        <v>49+ months</v>
      </c>
      <c r="X6897">
        <f t="shared" si="215"/>
        <v>2484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214"/>
        <v>0-12 months</v>
      </c>
      <c r="X6898">
        <f t="shared" si="215"/>
        <v>43.95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214"/>
        <v>49+ months</v>
      </c>
      <c r="X6899">
        <f t="shared" si="215"/>
        <v>4984.8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214"/>
        <v>37-48 months</v>
      </c>
      <c r="X6900">
        <f t="shared" si="215"/>
        <v>2201.1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214"/>
        <v>0-12 months</v>
      </c>
      <c r="X6901">
        <f t="shared" si="215"/>
        <v>45.1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214"/>
        <v>49+ months</v>
      </c>
      <c r="X6902">
        <f t="shared" si="215"/>
        <v>4794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214"/>
        <v>37-48 months</v>
      </c>
      <c r="X6903">
        <f t="shared" si="215"/>
        <v>2068.5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214"/>
        <v>49+ months</v>
      </c>
      <c r="X6904">
        <f t="shared" si="215"/>
        <v>3833.2000000000003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214"/>
        <v>37-48 months</v>
      </c>
      <c r="X6905">
        <f t="shared" si="215"/>
        <v>2415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214"/>
        <v>49+ months</v>
      </c>
      <c r="X6906">
        <f t="shared" si="215"/>
        <v>2806.4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214"/>
        <v>37-48 months</v>
      </c>
      <c r="X6907">
        <f t="shared" si="215"/>
        <v>1335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214"/>
        <v>37-48 months</v>
      </c>
      <c r="X6908">
        <f t="shared" si="215"/>
        <v>467.5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214"/>
        <v>37-48 months</v>
      </c>
      <c r="X6909">
        <f t="shared" si="215"/>
        <v>2880.25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214"/>
        <v>0-12 months</v>
      </c>
      <c r="X6910">
        <f t="shared" si="215"/>
        <v>498.15000000000003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214"/>
        <v>0-12 months</v>
      </c>
      <c r="X6911">
        <f t="shared" si="215"/>
        <v>53.55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214"/>
        <v>49+ months</v>
      </c>
      <c r="X6912">
        <f t="shared" si="215"/>
        <v>8022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214"/>
        <v>49+ months</v>
      </c>
      <c r="X6913">
        <f t="shared" si="215"/>
        <v>1145.7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214"/>
        <v>0-12 months</v>
      </c>
      <c r="X6914">
        <f t="shared" si="215"/>
        <v>769.5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216">IF(F6915&lt;=12,"0-12 months",
IF(A6915&lt;=24,"13-24 months",
IF(A6915&lt;=36,"25-36 months",
IF(F6915&lt;=48,"37-48 months","49+ months"))))</f>
        <v>49+ months</v>
      </c>
      <c r="X6915">
        <f t="shared" ref="X6915:X6978" si="217">S6915 * F6915</f>
        <v>7503.75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216"/>
        <v>37-48 months</v>
      </c>
      <c r="X6916">
        <f t="shared" si="217"/>
        <v>4429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216"/>
        <v>49+ months</v>
      </c>
      <c r="X6917">
        <f t="shared" si="217"/>
        <v>7045.2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216"/>
        <v>37-48 months</v>
      </c>
      <c r="X6918">
        <f t="shared" si="217"/>
        <v>860.2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216"/>
        <v>49+ months</v>
      </c>
      <c r="X6919">
        <f t="shared" si="217"/>
        <v>6051.5999999999995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216"/>
        <v>37-48 months</v>
      </c>
      <c r="X6920">
        <f t="shared" si="217"/>
        <v>3423.75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216"/>
        <v>49+ months</v>
      </c>
      <c r="X6921">
        <f t="shared" si="217"/>
        <v>4827.6000000000004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216"/>
        <v>37-48 months</v>
      </c>
      <c r="X6922">
        <f t="shared" si="217"/>
        <v>531.9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216"/>
        <v>49+ months</v>
      </c>
      <c r="X6923">
        <f t="shared" si="217"/>
        <v>4311.8999999999996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216"/>
        <v>0-12 months</v>
      </c>
      <c r="X6924">
        <f t="shared" si="217"/>
        <v>223.35000000000002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216"/>
        <v>49+ months</v>
      </c>
      <c r="X6925">
        <f t="shared" si="217"/>
        <v>3927.2999999999997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216"/>
        <v>0-12 months</v>
      </c>
      <c r="X6926">
        <f t="shared" si="217"/>
        <v>69.349999999999994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216"/>
        <v>37-48 months</v>
      </c>
      <c r="X6927">
        <f t="shared" si="217"/>
        <v>282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216"/>
        <v>49+ months</v>
      </c>
      <c r="X6928">
        <f t="shared" si="217"/>
        <v>4135.5999999999995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216"/>
        <v>0-12 months</v>
      </c>
      <c r="X6929">
        <f t="shared" si="217"/>
        <v>322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216"/>
        <v>37-48 months</v>
      </c>
      <c r="X6930">
        <f t="shared" si="217"/>
        <v>2678.3999999999996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216"/>
        <v>37-48 months</v>
      </c>
      <c r="X6931">
        <f t="shared" si="217"/>
        <v>501.25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216"/>
        <v>0-12 months</v>
      </c>
      <c r="X6932">
        <f t="shared" si="217"/>
        <v>225.45000000000002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216"/>
        <v>49+ months</v>
      </c>
      <c r="X6933">
        <f t="shared" si="217"/>
        <v>5750.7000000000007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216"/>
        <v>0-12 months</v>
      </c>
      <c r="X6934">
        <f t="shared" si="217"/>
        <v>567.5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216"/>
        <v>0-12 months</v>
      </c>
      <c r="X6935">
        <f t="shared" si="217"/>
        <v>69.599999999999994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216"/>
        <v>49+ months</v>
      </c>
      <c r="X6936">
        <f t="shared" si="217"/>
        <v>7394.6500000000005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216"/>
        <v>49+ months</v>
      </c>
      <c r="X6937">
        <f t="shared" si="217"/>
        <v>7202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216"/>
        <v>0-12 months</v>
      </c>
      <c r="X6938">
        <f t="shared" si="217"/>
        <v>400.75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216"/>
        <v>37-48 months</v>
      </c>
      <c r="X6939">
        <f t="shared" si="217"/>
        <v>1001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216"/>
        <v>49+ months</v>
      </c>
      <c r="X6940">
        <f t="shared" si="217"/>
        <v>4683.3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216"/>
        <v>37-48 months</v>
      </c>
      <c r="X6941">
        <f t="shared" si="217"/>
        <v>3122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216"/>
        <v>49+ months</v>
      </c>
      <c r="X6942">
        <f t="shared" si="217"/>
        <v>4006.7999999999997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216"/>
        <v>49+ months</v>
      </c>
      <c r="X6943">
        <f t="shared" si="217"/>
        <v>3092.7000000000003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216"/>
        <v>49+ months</v>
      </c>
      <c r="X6944">
        <f t="shared" si="217"/>
        <v>1360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216"/>
        <v>0-12 months</v>
      </c>
      <c r="X6945">
        <f t="shared" si="217"/>
        <v>30.5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216"/>
        <v>0-12 months</v>
      </c>
      <c r="X6946">
        <f t="shared" si="217"/>
        <v>57.300000000000004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216"/>
        <v>49+ months</v>
      </c>
      <c r="X6947">
        <f t="shared" si="217"/>
        <v>6881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216"/>
        <v>37-48 months</v>
      </c>
      <c r="X6948">
        <f t="shared" si="217"/>
        <v>2186.3999999999996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216"/>
        <v>49+ months</v>
      </c>
      <c r="X6949">
        <f t="shared" si="217"/>
        <v>6871.4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216"/>
        <v>37-48 months</v>
      </c>
      <c r="X6950">
        <f t="shared" si="217"/>
        <v>4873.9000000000005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216"/>
        <v>37-48 months</v>
      </c>
      <c r="X6951">
        <f t="shared" si="217"/>
        <v>1160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216"/>
        <v>0-12 months</v>
      </c>
      <c r="X6952">
        <f t="shared" si="217"/>
        <v>247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216"/>
        <v>49+ months</v>
      </c>
      <c r="X6953">
        <f t="shared" si="217"/>
        <v>975.09999999999991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216"/>
        <v>37-48 months</v>
      </c>
      <c r="X6954">
        <f t="shared" si="217"/>
        <v>5155.2000000000007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216"/>
        <v>37-48 months</v>
      </c>
      <c r="X6955">
        <f t="shared" si="217"/>
        <v>1066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216"/>
        <v>37-48 months</v>
      </c>
      <c r="X6956">
        <f t="shared" si="217"/>
        <v>297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216"/>
        <v>0-12 months</v>
      </c>
      <c r="X6957">
        <f t="shared" si="217"/>
        <v>540.59999999999991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216"/>
        <v>49+ months</v>
      </c>
      <c r="X6958">
        <f t="shared" si="217"/>
        <v>4324.8499999999995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216"/>
        <v>0-12 months</v>
      </c>
      <c r="X6959">
        <f t="shared" si="217"/>
        <v>776.25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216"/>
        <v>37-48 months</v>
      </c>
      <c r="X6960">
        <f t="shared" si="217"/>
        <v>256.75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216"/>
        <v>37-48 months</v>
      </c>
      <c r="X6961">
        <f t="shared" si="217"/>
        <v>3385.7999999999997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216"/>
        <v>37-48 months</v>
      </c>
      <c r="X6962">
        <f t="shared" si="217"/>
        <v>4013.1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216"/>
        <v>37-48 months</v>
      </c>
      <c r="X6963">
        <f t="shared" si="217"/>
        <v>1809.6000000000001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216"/>
        <v>37-48 months</v>
      </c>
      <c r="X6964">
        <f t="shared" si="217"/>
        <v>2733.75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216"/>
        <v>0-12 months</v>
      </c>
      <c r="X6965">
        <f t="shared" si="217"/>
        <v>923.4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216"/>
        <v>49+ months</v>
      </c>
      <c r="X6966">
        <f t="shared" si="217"/>
        <v>2758.7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216"/>
        <v>49+ months</v>
      </c>
      <c r="X6967">
        <f t="shared" si="217"/>
        <v>5746.2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216"/>
        <v>49+ months</v>
      </c>
      <c r="X6968">
        <f t="shared" si="217"/>
        <v>2152.5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216"/>
        <v>37-48 months</v>
      </c>
      <c r="X6969">
        <f t="shared" si="217"/>
        <v>2237.5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216"/>
        <v>37-48 months</v>
      </c>
      <c r="X6970">
        <f t="shared" si="217"/>
        <v>1636.8000000000002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216"/>
        <v>0-12 months</v>
      </c>
      <c r="X6971">
        <f t="shared" si="217"/>
        <v>20.5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216"/>
        <v>0-12 months</v>
      </c>
      <c r="X6972">
        <f t="shared" si="217"/>
        <v>297.39999999999998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216"/>
        <v>37-48 months</v>
      </c>
      <c r="X6973">
        <f t="shared" si="217"/>
        <v>1795.5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216"/>
        <v>49+ months</v>
      </c>
      <c r="X6974">
        <f t="shared" si="217"/>
        <v>6269.2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216"/>
        <v>49+ months</v>
      </c>
      <c r="X6975">
        <f t="shared" si="217"/>
        <v>4982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216"/>
        <v>49+ months</v>
      </c>
      <c r="X6976">
        <f t="shared" si="217"/>
        <v>5041.3499999999995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216"/>
        <v>37-48 months</v>
      </c>
      <c r="X6977">
        <f t="shared" si="217"/>
        <v>1544.3999999999999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216"/>
        <v>49+ months</v>
      </c>
      <c r="X6978">
        <f t="shared" si="217"/>
        <v>4464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218">IF(F6979&lt;=12,"0-12 months",
IF(A6979&lt;=24,"13-24 months",
IF(A6979&lt;=36,"25-36 months",
IF(F6979&lt;=48,"37-48 months","49+ months"))))</f>
        <v>37-48 months</v>
      </c>
      <c r="X6979">
        <f t="shared" ref="X6979:X7042" si="219">S6979 * F6979</f>
        <v>1192.8000000000002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218"/>
        <v>49+ months</v>
      </c>
      <c r="X6980">
        <f t="shared" si="219"/>
        <v>5649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218"/>
        <v>0-12 months</v>
      </c>
      <c r="X6981">
        <f t="shared" si="219"/>
        <v>24.2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218"/>
        <v>37-48 months</v>
      </c>
      <c r="X6982">
        <f t="shared" si="219"/>
        <v>624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218"/>
        <v>0-12 months</v>
      </c>
      <c r="X6983">
        <f t="shared" si="219"/>
        <v>523.6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218"/>
        <v>49+ months</v>
      </c>
      <c r="X6984">
        <f t="shared" si="219"/>
        <v>5353.2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218"/>
        <v>37-48 months</v>
      </c>
      <c r="X6985">
        <f t="shared" si="219"/>
        <v>1913.6000000000001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218"/>
        <v>37-48 months</v>
      </c>
      <c r="X6986">
        <f t="shared" si="219"/>
        <v>775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218"/>
        <v>37-48 months</v>
      </c>
      <c r="X6987">
        <f t="shared" si="219"/>
        <v>1487.4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218"/>
        <v>37-48 months</v>
      </c>
      <c r="X6988">
        <f t="shared" si="219"/>
        <v>2823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218"/>
        <v>37-48 months</v>
      </c>
      <c r="X6989">
        <f t="shared" si="219"/>
        <v>3792.25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218"/>
        <v>37-48 months</v>
      </c>
      <c r="X6990">
        <f t="shared" si="219"/>
        <v>1598.5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218"/>
        <v>37-48 months</v>
      </c>
      <c r="X6991">
        <f t="shared" si="219"/>
        <v>1520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218"/>
        <v>37-48 months</v>
      </c>
      <c r="X6992">
        <f t="shared" si="219"/>
        <v>3369.6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218"/>
        <v>0-12 months</v>
      </c>
      <c r="X6993">
        <f t="shared" si="219"/>
        <v>765.2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218"/>
        <v>49+ months</v>
      </c>
      <c r="X6994">
        <f t="shared" si="219"/>
        <v>7139.05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218"/>
        <v>49+ months</v>
      </c>
      <c r="X6995">
        <f t="shared" si="219"/>
        <v>4402.5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218"/>
        <v>37-48 months</v>
      </c>
      <c r="X6996">
        <f t="shared" si="219"/>
        <v>1051.3499999999999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218"/>
        <v>49+ months</v>
      </c>
      <c r="X6997">
        <f t="shared" si="219"/>
        <v>5104.3499999999995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218"/>
        <v>37-48 months</v>
      </c>
      <c r="X6998">
        <f t="shared" si="219"/>
        <v>2726.5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218"/>
        <v>37-48 months</v>
      </c>
      <c r="X6999">
        <f t="shared" si="219"/>
        <v>2054.6999999999998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218"/>
        <v>37-48 months</v>
      </c>
      <c r="X7000">
        <f t="shared" si="219"/>
        <v>1046.5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218"/>
        <v>0-12 months</v>
      </c>
      <c r="X7001">
        <f t="shared" si="219"/>
        <v>106.35000000000001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218"/>
        <v>49+ months</v>
      </c>
      <c r="X7002">
        <f t="shared" si="219"/>
        <v>1376.8500000000001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218"/>
        <v>0-12 months</v>
      </c>
      <c r="X7003">
        <f t="shared" si="219"/>
        <v>149.69999999999999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218"/>
        <v>49+ months</v>
      </c>
      <c r="X7004">
        <f t="shared" si="219"/>
        <v>6745.6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218"/>
        <v>37-48 months</v>
      </c>
      <c r="X7005">
        <f t="shared" si="219"/>
        <v>929.5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218"/>
        <v>37-48 months</v>
      </c>
      <c r="X7006">
        <f t="shared" si="219"/>
        <v>3613.7999999999997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218"/>
        <v>37-48 months</v>
      </c>
      <c r="X7007">
        <f t="shared" si="219"/>
        <v>443.90000000000003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218"/>
        <v>37-48 months</v>
      </c>
      <c r="X7008">
        <f t="shared" si="219"/>
        <v>4180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218"/>
        <v>49+ months</v>
      </c>
      <c r="X7009">
        <f t="shared" si="219"/>
        <v>4543.2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218"/>
        <v>0-12 months</v>
      </c>
      <c r="X7010">
        <f t="shared" si="219"/>
        <v>225.14999999999998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218"/>
        <v>37-48 months</v>
      </c>
      <c r="X7011">
        <f t="shared" si="219"/>
        <v>1863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218"/>
        <v>0-12 months</v>
      </c>
      <c r="X7012">
        <f t="shared" si="219"/>
        <v>74.45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218"/>
        <v>0-12 months</v>
      </c>
      <c r="X7013">
        <f t="shared" si="219"/>
        <v>241.6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218"/>
        <v>49+ months</v>
      </c>
      <c r="X7014">
        <f t="shared" si="219"/>
        <v>5266.9000000000005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218"/>
        <v>37-48 months</v>
      </c>
      <c r="X7015">
        <f t="shared" si="219"/>
        <v>3736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218"/>
        <v>37-48 months</v>
      </c>
      <c r="X7016">
        <f t="shared" si="219"/>
        <v>3657.2000000000003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218"/>
        <v>37-48 months</v>
      </c>
      <c r="X7017">
        <f t="shared" si="219"/>
        <v>2896.8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218"/>
        <v>0-12 months</v>
      </c>
      <c r="X7018">
        <f t="shared" si="219"/>
        <v>49.95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218"/>
        <v>49+ months</v>
      </c>
      <c r="X7019">
        <f t="shared" si="219"/>
        <v>1053.1499999999999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218"/>
        <v>0-12 months</v>
      </c>
      <c r="X7020">
        <f t="shared" si="219"/>
        <v>70.650000000000006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218"/>
        <v>37-48 months</v>
      </c>
      <c r="X7021">
        <f t="shared" si="219"/>
        <v>785.84999999999991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218"/>
        <v>0-12 months</v>
      </c>
      <c r="X7022">
        <f t="shared" si="219"/>
        <v>230.39999999999998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218"/>
        <v>0-12 months</v>
      </c>
      <c r="X7023">
        <f t="shared" si="219"/>
        <v>717.59999999999991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218"/>
        <v>49+ months</v>
      </c>
      <c r="X7024">
        <f t="shared" si="219"/>
        <v>7556.4000000000005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218"/>
        <v>49+ months</v>
      </c>
      <c r="X7025">
        <f t="shared" si="219"/>
        <v>6520.5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218"/>
        <v>37-48 months</v>
      </c>
      <c r="X7026">
        <f t="shared" si="219"/>
        <v>3731.2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218"/>
        <v>37-48 months</v>
      </c>
      <c r="X7027">
        <f t="shared" si="219"/>
        <v>1710.8999999999999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218"/>
        <v>0-12 months</v>
      </c>
      <c r="X7028">
        <f t="shared" si="219"/>
        <v>397.8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218"/>
        <v>37-48 months</v>
      </c>
      <c r="X7029">
        <f t="shared" si="219"/>
        <v>953.55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218"/>
        <v>49+ months</v>
      </c>
      <c r="X7030">
        <f t="shared" si="219"/>
        <v>4358.7999999999993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218"/>
        <v>0-12 months</v>
      </c>
      <c r="X7031">
        <f t="shared" si="219"/>
        <v>266.39999999999998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218"/>
        <v>0-12 months</v>
      </c>
      <c r="X7032">
        <f t="shared" si="219"/>
        <v>40.1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218"/>
        <v>49+ months</v>
      </c>
      <c r="X7033">
        <f t="shared" si="219"/>
        <v>3300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218"/>
        <v>0-12 months</v>
      </c>
      <c r="X7034">
        <f t="shared" si="219"/>
        <v>75.75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218"/>
        <v>37-48 months</v>
      </c>
      <c r="X7035">
        <f t="shared" si="219"/>
        <v>2641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218"/>
        <v>49+ months</v>
      </c>
      <c r="X7036">
        <f t="shared" si="219"/>
        <v>6897.6500000000005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218"/>
        <v>37-48 months</v>
      </c>
      <c r="X7037">
        <f t="shared" si="219"/>
        <v>1495.3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218"/>
        <v>0-12 months</v>
      </c>
      <c r="X7038">
        <f t="shared" si="219"/>
        <v>727.8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218"/>
        <v>49+ months</v>
      </c>
      <c r="X7039">
        <f t="shared" si="219"/>
        <v>1522.8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218"/>
        <v>37-48 months</v>
      </c>
      <c r="X7040">
        <f t="shared" si="219"/>
        <v>2035.1999999999998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218"/>
        <v>49+ months</v>
      </c>
      <c r="X7041">
        <f t="shared" si="219"/>
        <v>7430.4000000000005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218"/>
        <v>0-12 months</v>
      </c>
      <c r="X7042">
        <f t="shared" si="219"/>
        <v>325.60000000000002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220">IF(F7043&lt;=12,"0-12 months",
IF(A7043&lt;=24,"13-24 months",
IF(A7043&lt;=36,"25-36 months",
IF(F7043&lt;=48,"37-48 months","49+ months"))))</f>
        <v>0-12 months</v>
      </c>
      <c r="X7043">
        <f t="shared" ref="X7043:X7044" si="221">S7043 * F7043</f>
        <v>297.60000000000002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220"/>
        <v>49+ months</v>
      </c>
      <c r="X7044">
        <f t="shared" si="221"/>
        <v>6972.9000000000005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Karki</cp:lastModifiedBy>
  <dcterms:created xsi:type="dcterms:W3CDTF">2026-01-31T09:19:31Z</dcterms:created>
  <dcterms:modified xsi:type="dcterms:W3CDTF">2026-02-02T11:26:16Z</dcterms:modified>
</cp:coreProperties>
</file>